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obia\Documents\GitHub\ProgrammierZeugs\AKSEP\Schoolsystem2\backend\src\main\resources\scripts\"/>
    </mc:Choice>
  </mc:AlternateContent>
  <xr:revisionPtr revIDLastSave="0" documentId="13_ncr:1_{63F53305-C951-496A-B5B2-DA2ACC438882}" xr6:coauthVersionLast="47" xr6:coauthVersionMax="47" xr10:uidLastSave="{00000000-0000-0000-0000-000000000000}"/>
  <bookViews>
    <workbookView xWindow="8496" yWindow="576" windowWidth="14640" windowHeight="11472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46" i="1"/>
  <c r="B47" i="1"/>
  <c r="B48" i="1"/>
  <c r="B49" i="1"/>
  <c r="B50" i="1"/>
  <c r="B51" i="1"/>
  <c r="B44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A1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B13" i="1"/>
  <c r="AA13" i="1"/>
  <c r="Z13" i="1"/>
  <c r="Y13" i="1"/>
  <c r="X13" i="1"/>
  <c r="W13" i="1"/>
  <c r="V13" i="1"/>
  <c r="V2" i="1" s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H2" i="1" s="1"/>
  <c r="G13" i="1"/>
  <c r="F13" i="1"/>
  <c r="E13" i="1"/>
  <c r="D13" i="1"/>
  <c r="C13" i="1"/>
  <c r="B13" i="1"/>
  <c r="B2" i="1" l="1"/>
  <c r="C2" i="1"/>
  <c r="P2" i="1"/>
  <c r="Q2" i="1"/>
  <c r="D2" i="1"/>
  <c r="D3" i="1" s="1"/>
  <c r="R2" i="1"/>
  <c r="R3" i="1" s="1"/>
  <c r="E2" i="1"/>
  <c r="S2" i="1"/>
  <c r="F2" i="1"/>
  <c r="F3" i="1" s="1"/>
  <c r="T2" i="1"/>
  <c r="T3" i="1" s="1"/>
  <c r="G2" i="1"/>
  <c r="G3" i="1" s="1"/>
  <c r="U2" i="1"/>
  <c r="V3" i="1" s="1"/>
  <c r="K2" i="1"/>
  <c r="K3" i="1" s="1"/>
  <c r="Y2" i="1"/>
  <c r="Y3" i="1" s="1"/>
  <c r="I2" i="1"/>
  <c r="I3" i="1" s="1"/>
  <c r="W2" i="1"/>
  <c r="W3" i="1" s="1"/>
  <c r="L2" i="1"/>
  <c r="Z2" i="1"/>
  <c r="J2" i="1"/>
  <c r="X2" i="1"/>
  <c r="X3" i="1" s="1"/>
  <c r="M2" i="1"/>
  <c r="M3" i="1" s="1"/>
  <c r="AA2" i="1"/>
  <c r="AA3" i="1" s="1"/>
  <c r="N2" i="1"/>
  <c r="N3" i="1" s="1"/>
  <c r="AB2" i="1"/>
  <c r="AB3" i="1" s="1"/>
  <c r="O2" i="1"/>
  <c r="Q3" i="1"/>
  <c r="E3" i="1"/>
  <c r="S3" i="1"/>
  <c r="U3" i="1"/>
  <c r="C3" i="1"/>
  <c r="O3" i="1"/>
  <c r="H3" i="1" l="1"/>
  <c r="L3" i="1"/>
  <c r="J3" i="1"/>
  <c r="Z3" i="1"/>
  <c r="P3" i="1"/>
</calcChain>
</file>

<file path=xl/sharedStrings.xml><?xml version="1.0" encoding="utf-8"?>
<sst xmlns="http://schemas.openxmlformats.org/spreadsheetml/2006/main" count="8" uniqueCount="8">
  <si>
    <t>SUMME</t>
  </si>
  <si>
    <t>DIFF</t>
  </si>
  <si>
    <t>minuend</t>
  </si>
  <si>
    <t>f_size</t>
  </si>
  <si>
    <t>f_index</t>
  </si>
  <si>
    <t>size_shift</t>
  </si>
  <si>
    <t>index_shift</t>
  </si>
  <si>
    <t>index\Size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</si>
</sst>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/>
    <xf numFmtId="3" fontId="1" fillId="2" borderId="1" xfId="0" applyNumberFormat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51"/>
  <sheetViews>
    <sheetView tabSelected="1" topLeftCell="A5" workbookViewId="0">
      <selection activeCell="X9" sqref="X9"/>
    </sheetView>
  </sheetViews>
  <sheetFormatPr baseColWidth="10" defaultColWidth="8.88671875" defaultRowHeight="14.4" x14ac:dyDescent="0.3"/>
  <cols>
    <col min="1" max="1" width="11.44140625" style="1" bestFit="1" customWidth="1"/>
    <col min="2" max="2" width="3.88671875" style="3" bestFit="1" customWidth="1"/>
    <col min="3" max="4" width="2.109375" style="3" bestFit="1" customWidth="1"/>
    <col min="5" max="28" width="3.109375" style="3" bestFit="1" customWidth="1"/>
  </cols>
  <sheetData>
    <row r="1" spans="1:64" ht="18.75" customHeight="1" x14ac:dyDescent="0.3">
      <c r="A1" s="1" t="str">
        <f>A12</f>
        <v>index\Size</v>
      </c>
      <c r="B1" s="1">
        <f t="shared" ref="B1:BL1" si="0">B12</f>
        <v>1</v>
      </c>
      <c r="C1" s="1">
        <f t="shared" si="0"/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 t="shared" si="0"/>
        <v>16</v>
      </c>
      <c r="R1" s="1">
        <f t="shared" si="0"/>
        <v>17</v>
      </c>
      <c r="S1" s="1">
        <f t="shared" si="0"/>
        <v>18</v>
      </c>
      <c r="T1" s="1">
        <f t="shared" si="0"/>
        <v>19</v>
      </c>
      <c r="U1" s="1">
        <f t="shared" si="0"/>
        <v>20</v>
      </c>
      <c r="V1" s="1">
        <f t="shared" si="0"/>
        <v>21</v>
      </c>
      <c r="W1" s="1">
        <f t="shared" si="0"/>
        <v>22</v>
      </c>
      <c r="X1" s="1">
        <f t="shared" si="0"/>
        <v>23</v>
      </c>
      <c r="Y1" s="1">
        <f t="shared" si="0"/>
        <v>24</v>
      </c>
      <c r="Z1" s="1">
        <f t="shared" si="0"/>
        <v>25</v>
      </c>
      <c r="AA1" s="1">
        <f t="shared" si="0"/>
        <v>26</v>
      </c>
      <c r="AB1" s="1">
        <f t="shared" si="0"/>
        <v>27</v>
      </c>
      <c r="AC1" s="1">
        <f t="shared" si="0"/>
        <v>0</v>
      </c>
      <c r="AD1" s="1">
        <f t="shared" si="0"/>
        <v>0</v>
      </c>
      <c r="AE1" s="1">
        <f t="shared" si="0"/>
        <v>0</v>
      </c>
      <c r="AF1" s="1">
        <f t="shared" si="0"/>
        <v>0</v>
      </c>
      <c r="AG1" s="1">
        <f t="shared" si="0"/>
        <v>0</v>
      </c>
      <c r="AH1" s="1">
        <f t="shared" si="0"/>
        <v>0</v>
      </c>
      <c r="AI1" s="1">
        <f t="shared" si="0"/>
        <v>0</v>
      </c>
      <c r="AJ1" s="1">
        <f t="shared" si="0"/>
        <v>0</v>
      </c>
      <c r="AK1" s="1">
        <f t="shared" si="0"/>
        <v>0</v>
      </c>
      <c r="AL1" s="1">
        <f t="shared" si="0"/>
        <v>0</v>
      </c>
      <c r="AM1" s="1">
        <f t="shared" si="0"/>
        <v>0</v>
      </c>
      <c r="AN1" s="1">
        <f t="shared" si="0"/>
        <v>0</v>
      </c>
      <c r="AO1" s="1">
        <f t="shared" si="0"/>
        <v>0</v>
      </c>
      <c r="AP1" s="1">
        <f t="shared" si="0"/>
        <v>0</v>
      </c>
      <c r="AQ1" s="1">
        <f t="shared" si="0"/>
        <v>0</v>
      </c>
      <c r="AR1" s="1">
        <f t="shared" si="0"/>
        <v>0</v>
      </c>
      <c r="AS1" s="1">
        <f t="shared" si="0"/>
        <v>0</v>
      </c>
      <c r="AT1" s="1">
        <f t="shared" si="0"/>
        <v>0</v>
      </c>
      <c r="AU1" s="1">
        <f t="shared" si="0"/>
        <v>0</v>
      </c>
      <c r="AV1" s="1">
        <f t="shared" si="0"/>
        <v>0</v>
      </c>
      <c r="AW1" s="1">
        <f t="shared" si="0"/>
        <v>0</v>
      </c>
      <c r="AX1" s="1">
        <f t="shared" si="0"/>
        <v>0</v>
      </c>
      <c r="AY1" s="1">
        <f t="shared" si="0"/>
        <v>0</v>
      </c>
      <c r="AZ1" s="1">
        <f t="shared" si="0"/>
        <v>0</v>
      </c>
      <c r="BA1" s="1">
        <f t="shared" si="0"/>
        <v>0</v>
      </c>
      <c r="BB1" s="1">
        <f t="shared" si="0"/>
        <v>0</v>
      </c>
      <c r="BC1" s="1">
        <f t="shared" si="0"/>
        <v>0</v>
      </c>
      <c r="BD1" s="1">
        <f t="shared" si="0"/>
        <v>0</v>
      </c>
      <c r="BE1" s="1">
        <f t="shared" si="0"/>
        <v>0</v>
      </c>
      <c r="BF1" s="1">
        <f t="shared" si="0"/>
        <v>0</v>
      </c>
      <c r="BG1" s="1">
        <f t="shared" si="0"/>
        <v>0</v>
      </c>
      <c r="BH1" s="1">
        <f t="shared" si="0"/>
        <v>0</v>
      </c>
      <c r="BI1" s="1">
        <f t="shared" si="0"/>
        <v>0</v>
      </c>
      <c r="BJ1" s="1">
        <f t="shared" si="0"/>
        <v>0</v>
      </c>
      <c r="BK1" s="1">
        <f t="shared" si="0"/>
        <v>0</v>
      </c>
      <c r="BL1" s="1">
        <f t="shared" si="0"/>
        <v>0</v>
      </c>
    </row>
    <row r="2" spans="1:64" ht="18.75" customHeight="1" x14ac:dyDescent="0.3">
      <c r="A2" s="1" t="s">
        <v>0</v>
      </c>
      <c r="B2" s="2">
        <f>SUM(B13:B999)</f>
        <v>32</v>
      </c>
      <c r="C2" s="2">
        <f>SUM(C13:C999)</f>
        <v>7</v>
      </c>
      <c r="D2" s="2">
        <f>SUM(D13:D999)</f>
        <v>9</v>
      </c>
      <c r="E2" s="2">
        <f>SUM(E13:E999)</f>
        <v>11</v>
      </c>
      <c r="F2" s="2">
        <f>SUM(F13:F999)</f>
        <v>13</v>
      </c>
      <c r="G2" s="2">
        <f>SUM(G13:G999)</f>
        <v>15</v>
      </c>
      <c r="H2" s="2">
        <f>SUM(H13:H999)</f>
        <v>17</v>
      </c>
      <c r="I2" s="2">
        <f>SUM(I13:I999)</f>
        <v>18</v>
      </c>
      <c r="J2" s="2">
        <f>SUM(J13:J999)</f>
        <v>19</v>
      </c>
      <c r="K2" s="2">
        <f>SUM(K13:K999)</f>
        <v>20</v>
      </c>
      <c r="L2" s="2">
        <f>SUM(L13:L999)</f>
        <v>21</v>
      </c>
      <c r="M2" s="2">
        <f>SUM(M13:M999)</f>
        <v>22</v>
      </c>
      <c r="N2" s="2">
        <f>SUM(N13:N999)</f>
        <v>21</v>
      </c>
      <c r="O2" s="2">
        <f>SUM(O13:O999)</f>
        <v>22</v>
      </c>
      <c r="P2" s="2">
        <f>SUM(P13:P999)</f>
        <v>23</v>
      </c>
      <c r="Q2" s="2">
        <f>SUM(Q13:Q999)</f>
        <v>24</v>
      </c>
      <c r="R2" s="2">
        <f>SUM(R13:R999)</f>
        <v>25</v>
      </c>
      <c r="S2" s="2">
        <f>SUM(S13:S999)</f>
        <v>26</v>
      </c>
      <c r="T2" s="2">
        <f>SUM(T13:T999)</f>
        <v>27</v>
      </c>
      <c r="U2" s="2">
        <f>SUM(U13:U999)</f>
        <v>28</v>
      </c>
      <c r="V2" s="2">
        <f>SUM(V13:V999)</f>
        <v>29</v>
      </c>
      <c r="W2" s="2">
        <f>SUM(W13:W999)</f>
        <v>28</v>
      </c>
      <c r="X2" s="2">
        <f>SUM(X13:X999)</f>
        <v>29</v>
      </c>
      <c r="Y2" s="2">
        <f>SUM(Y13:Y999)</f>
        <v>30</v>
      </c>
      <c r="Z2" s="2">
        <f>SUM(Z13:Z999)</f>
        <v>31</v>
      </c>
      <c r="AA2" s="2">
        <f>SUM(AA13:AA999)</f>
        <v>32</v>
      </c>
      <c r="AB2" s="2">
        <f>SUM(AB13:AB999)</f>
        <v>33</v>
      </c>
    </row>
    <row r="3" spans="1:64" ht="18.75" customHeight="1" x14ac:dyDescent="0.3">
      <c r="A3" s="1" t="s">
        <v>1</v>
      </c>
      <c r="C3" s="2">
        <f t="shared" ref="C3:AB3" si="1">C2-B2</f>
        <v>-25</v>
      </c>
      <c r="D3" s="2">
        <f t="shared" si="1"/>
        <v>2</v>
      </c>
      <c r="E3" s="2">
        <f t="shared" si="1"/>
        <v>2</v>
      </c>
      <c r="F3" s="2">
        <f t="shared" si="1"/>
        <v>2</v>
      </c>
      <c r="G3" s="2">
        <f t="shared" si="1"/>
        <v>2</v>
      </c>
      <c r="H3" s="2">
        <f t="shared" si="1"/>
        <v>2</v>
      </c>
      <c r="I3" s="2">
        <f t="shared" si="1"/>
        <v>1</v>
      </c>
      <c r="J3" s="2">
        <f t="shared" si="1"/>
        <v>1</v>
      </c>
      <c r="K3" s="2">
        <f t="shared" si="1"/>
        <v>1</v>
      </c>
      <c r="L3" s="2">
        <f t="shared" si="1"/>
        <v>1</v>
      </c>
      <c r="M3" s="2">
        <f t="shared" si="1"/>
        <v>1</v>
      </c>
      <c r="N3" s="2">
        <f t="shared" si="1"/>
        <v>-1</v>
      </c>
      <c r="O3" s="2">
        <f t="shared" si="1"/>
        <v>1</v>
      </c>
      <c r="P3" s="2">
        <f t="shared" si="1"/>
        <v>1</v>
      </c>
      <c r="Q3" s="2">
        <f t="shared" si="1"/>
        <v>1</v>
      </c>
      <c r="R3" s="2">
        <f t="shared" si="1"/>
        <v>1</v>
      </c>
      <c r="S3" s="2">
        <f t="shared" si="1"/>
        <v>1</v>
      </c>
      <c r="T3" s="2">
        <f t="shared" si="1"/>
        <v>1</v>
      </c>
      <c r="U3" s="2">
        <f t="shared" si="1"/>
        <v>1</v>
      </c>
      <c r="V3" s="2">
        <f t="shared" si="1"/>
        <v>1</v>
      </c>
      <c r="W3" s="2">
        <f t="shared" si="1"/>
        <v>-1</v>
      </c>
      <c r="X3" s="2">
        <f t="shared" si="1"/>
        <v>1</v>
      </c>
      <c r="Y3" s="2">
        <f t="shared" si="1"/>
        <v>1</v>
      </c>
      <c r="Z3" s="2">
        <f t="shared" si="1"/>
        <v>1</v>
      </c>
      <c r="AA3" s="2">
        <f t="shared" si="1"/>
        <v>1</v>
      </c>
      <c r="AB3" s="2">
        <f t="shared" si="1"/>
        <v>1</v>
      </c>
    </row>
    <row r="4" spans="1:64" ht="18.75" customHeight="1" x14ac:dyDescent="0.3"/>
    <row r="5" spans="1:64" ht="18.75" customHeight="1" x14ac:dyDescent="0.3">
      <c r="A5" s="1" t="s">
        <v>2</v>
      </c>
      <c r="B5" s="2">
        <v>6</v>
      </c>
    </row>
    <row r="6" spans="1:64" ht="18.75" customHeight="1" x14ac:dyDescent="0.3">
      <c r="A6" s="1" t="s">
        <v>3</v>
      </c>
      <c r="B6" s="2">
        <v>1</v>
      </c>
    </row>
    <row r="7" spans="1:64" ht="18.75" customHeight="1" x14ac:dyDescent="0.3">
      <c r="A7" s="1" t="s">
        <v>4</v>
      </c>
      <c r="B7" s="2">
        <v>9</v>
      </c>
    </row>
    <row r="8" spans="1:64" ht="18.75" customHeight="1" x14ac:dyDescent="0.3">
      <c r="A8" s="1" t="s">
        <v>5</v>
      </c>
      <c r="B8" s="2">
        <v>-30</v>
      </c>
    </row>
    <row r="9" spans="1:64" ht="18.75" customHeight="1" x14ac:dyDescent="0.3">
      <c r="A9" s="1" t="s">
        <v>6</v>
      </c>
      <c r="B9" s="2">
        <v>7</v>
      </c>
    </row>
    <row r="10" spans="1:64" ht="18.75" customHeight="1" x14ac:dyDescent="0.3"/>
    <row r="11" spans="1:64" ht="18.75" customHeight="1" x14ac:dyDescent="0.3"/>
    <row r="12" spans="1:64" ht="18.75" customHeight="1" x14ac:dyDescent="0.3">
      <c r="A12" s="1" t="s">
        <v>7</v>
      </c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  <c r="T12" s="2">
        <v>19</v>
      </c>
      <c r="U12" s="2">
        <v>20</v>
      </c>
      <c r="V12" s="2">
        <v>21</v>
      </c>
      <c r="W12" s="2">
        <v>22</v>
      </c>
      <c r="X12" s="2">
        <v>23</v>
      </c>
      <c r="Y12" s="2">
        <v>24</v>
      </c>
      <c r="Z12" s="2">
        <v>25</v>
      </c>
      <c r="AA12" s="2">
        <v>26</v>
      </c>
      <c r="AB12" s="2">
        <v>27</v>
      </c>
    </row>
    <row r="13" spans="1:64" ht="18.75" customHeight="1" x14ac:dyDescent="0.3">
      <c r="A13" s="2">
        <v>0</v>
      </c>
      <c r="B13" s="2">
        <f>IF(B$12&gt;$A13,IF(B$12=1,5,MAX($B$5-ROUNDDOWN((SQRT($B$6*(B$12+$B$8)+$B$7*($A13+$B$9)))/2,0),1)),"")</f>
        <v>5</v>
      </c>
      <c r="C13" s="4">
        <f>IF(C$12&gt;$A13,IF(C$12=1,5,MAX($B$5-ROUNDDOWN((SQRT($B$6*(C$12+$B$8)+$B$7*($A13+$B$9)))/2,0),1)),"")</f>
        <v>4</v>
      </c>
      <c r="D13" s="2">
        <f>IF(D$12&gt;$A13,IF(D$12=1,5,MAX($B$5-ROUNDDOWN((SQRT($B$6*(D$12+$B$8)+$B$7*($A13+$B$9)))/2,0),1)),"")</f>
        <v>3</v>
      </c>
      <c r="E13" s="2">
        <f>IF(E$12&gt;$A13,IF(E$12=1,5,MAX($B$5-ROUNDDOWN((SQRT($B$6*(E$12+$B$8)+$B$7*($A13+$B$9)))/2,0),1)),"")</f>
        <v>3</v>
      </c>
      <c r="F13" s="2">
        <f>IF(F$12&gt;$A13,IF(F$12=1,5,MAX($B$5-ROUNDDOWN((SQRT($B$6*(F$12+$B$8)+$B$7*($A13+$B$9)))/2,0),1)),"")</f>
        <v>3</v>
      </c>
      <c r="G13" s="2">
        <f>IF(G$12&gt;$A13,IF(G$12=1,5,MAX($B$5-ROUNDDOWN((SQRT($B$6*(G$12+$B$8)+$B$7*($A13+$B$9)))/2,0),1)),"")</f>
        <v>3</v>
      </c>
      <c r="H13" s="2">
        <f>IF(H$12&gt;$A13,IF(H$12=1,5,MAX($B$5-ROUNDDOWN((SQRT($B$6*(H$12+$B$8)+$B$7*($A13+$B$9)))/2,0),1)),"")</f>
        <v>3</v>
      </c>
      <c r="I13" s="2">
        <f>IF(I$12&gt;$A13,IF(I$12=1,5,MAX($B$5-ROUNDDOWN((SQRT($B$6*(I$12+$B$8)+$B$7*($A13+$B$9)))/2,0),1)),"")</f>
        <v>3</v>
      </c>
      <c r="J13" s="2">
        <f>IF(J$12&gt;$A13,IF(J$12=1,5,MAX($B$5-ROUNDDOWN((SQRT($B$6*(J$12+$B$8)+$B$7*($A13+$B$9)))/2,0),1)),"")</f>
        <v>3</v>
      </c>
      <c r="K13" s="2">
        <f>IF(K$12&gt;$A13,IF(K$12=1,5,MAX($B$5-ROUNDDOWN((SQRT($B$6*(K$12+$B$8)+$B$7*($A13+$B$9)))/2,0),1)),"")</f>
        <v>3</v>
      </c>
      <c r="L13" s="2">
        <f>IF(L$12&gt;$A13,IF(L$12=1,5,MAX($B$5-ROUNDDOWN((SQRT($B$6*(L$12+$B$8)+$B$7*($A13+$B$9)))/2,0),1)),"")</f>
        <v>3</v>
      </c>
      <c r="M13" s="2">
        <f>IF(M$12&gt;$A13,IF(M$12=1,5,MAX($B$5-ROUNDDOWN((SQRT($B$6*(M$12+$B$8)+$B$7*($A13+$B$9)))/2,0),1)),"")</f>
        <v>3</v>
      </c>
      <c r="N13" s="2">
        <f>IF(N$12&gt;$A13,IF(N$12=1,5,MAX($B$5-ROUNDDOWN((SQRT($B$6*(N$12+$B$8)+$B$7*($A13+$B$9)))/2,0),1)),"")</f>
        <v>3</v>
      </c>
      <c r="O13" s="2">
        <f>IF(O$12&gt;$A13,IF(O$12=1,5,MAX($B$5-ROUNDDOWN((SQRT($B$6*(O$12+$B$8)+$B$7*($A13+$B$9)))/2,0),1)),"")</f>
        <v>3</v>
      </c>
      <c r="P13" s="2">
        <f>IF(P$12&gt;$A13,IF(P$12=1,5,MAX($B$5-ROUNDDOWN((SQRT($B$6*(P$12+$B$8)+$B$7*($A13+$B$9)))/2,0),1)),"")</f>
        <v>3</v>
      </c>
      <c r="Q13" s="2">
        <f>IF(Q$12&gt;$A13,IF(Q$12=1,5,MAX($B$5-ROUNDDOWN((SQRT($B$6*(Q$12+$B$8)+$B$7*($A13+$B$9)))/2,0),1)),"")</f>
        <v>3</v>
      </c>
      <c r="R13" s="2">
        <f>IF(R$12&gt;$A13,IF(R$12=1,5,MAX($B$5-ROUNDDOWN((SQRT($B$6*(R$12+$B$8)+$B$7*($A13+$B$9)))/2,0),1)),"")</f>
        <v>3</v>
      </c>
      <c r="S13" s="2">
        <f>IF(S$12&gt;$A13,IF(S$12=1,5,MAX($B$5-ROUNDDOWN((SQRT($B$6*(S$12+$B$8)+$B$7*($A13+$B$9)))/2,0),1)),"")</f>
        <v>3</v>
      </c>
      <c r="T13" s="2">
        <f>IF(T$12&gt;$A13,IF(T$12=1,5,MAX($B$5-ROUNDDOWN((SQRT($B$6*(T$12+$B$8)+$B$7*($A13+$B$9)))/2,0),1)),"")</f>
        <v>3</v>
      </c>
      <c r="U13" s="2">
        <f>IF(U$12&gt;$A13,IF(U$12=1,5,MAX($B$5-ROUNDDOWN((SQRT($B$6*(U$12+$B$8)+$B$7*($A13+$B$9)))/2,0),1)),"")</f>
        <v>3</v>
      </c>
      <c r="V13" s="2">
        <f>IF(V$12&gt;$A13,IF(V$12=1,5,MAX($B$5-ROUNDDOWN((SQRT($B$6*(V$12+$B$8)+$B$7*($A13+$B$9)))/2,0),1)),"")</f>
        <v>3</v>
      </c>
      <c r="W13" s="2">
        <f>IF(W$12&gt;$A13,IF(W$12=1,5,MAX($B$5-ROUNDDOWN((SQRT($B$6*(W$12+$B$8)+$B$7*($A13+$B$9)))/2,0),1)),"")</f>
        <v>3</v>
      </c>
      <c r="X13" s="2">
        <f>IF(X$12&gt;$A13,IF(X$12=1,5,MAX($B$5-ROUNDDOWN((SQRT($B$6*(X$12+$B$8)+$B$7*($A13+$B$9)))/2,0),1)),"")</f>
        <v>3</v>
      </c>
      <c r="Y13" s="2">
        <f>IF(Y$12&gt;$A13,IF(Y$12=1,5,MAX($B$5-ROUNDDOWN((SQRT($B$6*(Y$12+$B$8)+$B$7*($A13+$B$9)))/2,0),1)),"")</f>
        <v>3</v>
      </c>
      <c r="Z13" s="2">
        <f>IF(Z$12&gt;$A13,IF(Z$12=1,5,MAX($B$5-ROUNDDOWN((SQRT($B$6*(Z$12+$B$8)+$B$7*($A13+$B$9)))/2,0),1)),"")</f>
        <v>3</v>
      </c>
      <c r="AA13" s="2">
        <f>IF(AA$12&gt;$A13,IF(AA$12=1,5,MAX($B$5-ROUNDDOWN((SQRT($B$6*(AA$12+$B$8)+$B$7*($A13+$B$9)))/2,0),1)),"")</f>
        <v>3</v>
      </c>
      <c r="AB13" s="2">
        <f>IF(AB$12&gt;$A13,IF(AB$12=1,5,MAX($B$5-ROUNDDOWN((SQRT($B$6*(AB$12+$B$8)+$B$7*($A13+$B$9)))/2,0),1)),"")</f>
        <v>3</v>
      </c>
    </row>
    <row r="14" spans="1:64" ht="18.75" customHeight="1" x14ac:dyDescent="0.3">
      <c r="A14" s="2">
        <v>1</v>
      </c>
      <c r="B14" s="3" t="str">
        <f>IF(B$12&gt;$A14,IF(B$12=1,5,MAX($B$5-ROUNDDOWN((SQRT($B$6*(B$12+$B$8)+$B$7*($A14+$B$9)))/2,0),1)),"")</f>
        <v/>
      </c>
      <c r="C14" s="4">
        <f>IF(C$12&gt;$A14,IF(C$12=1,5,MAX($B$5-ROUNDDOWN((SQRT($B$6*(C$12+$B$8)+$B$7*($A14+$B$9)))/2,0),1)),"")</f>
        <v>3</v>
      </c>
      <c r="D14" s="2">
        <f>IF(D$12&gt;$A14,IF(D$12=1,5,MAX($B$5-ROUNDDOWN((SQRT($B$6*(D$12+$B$8)+$B$7*($A14+$B$9)))/2,0),1)),"")</f>
        <v>3</v>
      </c>
      <c r="E14" s="2">
        <f>IF(E$12&gt;$A14,IF(E$12=1,5,MAX($B$5-ROUNDDOWN((SQRT($B$6*(E$12+$B$8)+$B$7*($A14+$B$9)))/2,0),1)),"")</f>
        <v>3</v>
      </c>
      <c r="F14" s="2">
        <f>IF(F$12&gt;$A14,IF(F$12=1,5,MAX($B$5-ROUNDDOWN((SQRT($B$6*(F$12+$B$8)+$B$7*($A14+$B$9)))/2,0),1)),"")</f>
        <v>3</v>
      </c>
      <c r="G14" s="2">
        <f>IF(G$12&gt;$A14,IF(G$12=1,5,MAX($B$5-ROUNDDOWN((SQRT($B$6*(G$12+$B$8)+$B$7*($A14+$B$9)))/2,0),1)),"")</f>
        <v>3</v>
      </c>
      <c r="H14" s="2">
        <f>IF(H$12&gt;$A14,IF(H$12=1,5,MAX($B$5-ROUNDDOWN((SQRT($B$6*(H$12+$B$8)+$B$7*($A14+$B$9)))/2,0),1)),"")</f>
        <v>3</v>
      </c>
      <c r="I14" s="2">
        <f>IF(I$12&gt;$A14,IF(I$12=1,5,MAX($B$5-ROUNDDOWN((SQRT($B$6*(I$12+$B$8)+$B$7*($A14+$B$9)))/2,0),1)),"")</f>
        <v>3</v>
      </c>
      <c r="J14" s="2">
        <f>IF(J$12&gt;$A14,IF(J$12=1,5,MAX($B$5-ROUNDDOWN((SQRT($B$6*(J$12+$B$8)+$B$7*($A14+$B$9)))/2,0),1)),"")</f>
        <v>3</v>
      </c>
      <c r="K14" s="2">
        <f>IF(K$12&gt;$A14,IF(K$12=1,5,MAX($B$5-ROUNDDOWN((SQRT($B$6*(K$12+$B$8)+$B$7*($A14+$B$9)))/2,0),1)),"")</f>
        <v>3</v>
      </c>
      <c r="L14" s="2">
        <f>IF(L$12&gt;$A14,IF(L$12=1,5,MAX($B$5-ROUNDDOWN((SQRT($B$6*(L$12+$B$8)+$B$7*($A14+$B$9)))/2,0),1)),"")</f>
        <v>3</v>
      </c>
      <c r="M14" s="2">
        <f>IF(M$12&gt;$A14,IF(M$12=1,5,MAX($B$5-ROUNDDOWN((SQRT($B$6*(M$12+$B$8)+$B$7*($A14+$B$9)))/2,0),1)),"")</f>
        <v>3</v>
      </c>
      <c r="N14" s="2">
        <f>IF(N$12&gt;$A14,IF(N$12=1,5,MAX($B$5-ROUNDDOWN((SQRT($B$6*(N$12+$B$8)+$B$7*($A14+$B$9)))/2,0),1)),"")</f>
        <v>3</v>
      </c>
      <c r="O14" s="2">
        <f>IF(O$12&gt;$A14,IF(O$12=1,5,MAX($B$5-ROUNDDOWN((SQRT($B$6*(O$12+$B$8)+$B$7*($A14+$B$9)))/2,0),1)),"")</f>
        <v>3</v>
      </c>
      <c r="P14" s="2">
        <f>IF(P$12&gt;$A14,IF(P$12=1,5,MAX($B$5-ROUNDDOWN((SQRT($B$6*(P$12+$B$8)+$B$7*($A14+$B$9)))/2,0),1)),"")</f>
        <v>3</v>
      </c>
      <c r="Q14" s="2">
        <f>IF(Q$12&gt;$A14,IF(Q$12=1,5,MAX($B$5-ROUNDDOWN((SQRT($B$6*(Q$12+$B$8)+$B$7*($A14+$B$9)))/2,0),1)),"")</f>
        <v>3</v>
      </c>
      <c r="R14" s="2">
        <f>IF(R$12&gt;$A14,IF(R$12=1,5,MAX($B$5-ROUNDDOWN((SQRT($B$6*(R$12+$B$8)+$B$7*($A14+$B$9)))/2,0),1)),"")</f>
        <v>3</v>
      </c>
      <c r="S14" s="2">
        <f>IF(S$12&gt;$A14,IF(S$12=1,5,MAX($B$5-ROUNDDOWN((SQRT($B$6*(S$12+$B$8)+$B$7*($A14+$B$9)))/2,0),1)),"")</f>
        <v>3</v>
      </c>
      <c r="T14" s="2">
        <f>IF(T$12&gt;$A14,IF(T$12=1,5,MAX($B$5-ROUNDDOWN((SQRT($B$6*(T$12+$B$8)+$B$7*($A14+$B$9)))/2,0),1)),"")</f>
        <v>3</v>
      </c>
      <c r="U14" s="2">
        <f>IF(U$12&gt;$A14,IF(U$12=1,5,MAX($B$5-ROUNDDOWN((SQRT($B$6*(U$12+$B$8)+$B$7*($A14+$B$9)))/2,0),1)),"")</f>
        <v>3</v>
      </c>
      <c r="V14" s="2">
        <f>IF(V$12&gt;$A14,IF(V$12=1,5,MAX($B$5-ROUNDDOWN((SQRT($B$6*(V$12+$B$8)+$B$7*($A14+$B$9)))/2,0),1)),"")</f>
        <v>3</v>
      </c>
      <c r="W14" s="2">
        <f>IF(W$12&gt;$A14,IF(W$12=1,5,MAX($B$5-ROUNDDOWN((SQRT($B$6*(W$12+$B$8)+$B$7*($A14+$B$9)))/2,0),1)),"")</f>
        <v>2</v>
      </c>
      <c r="X14" s="2">
        <f>IF(X$12&gt;$A14,IF(X$12=1,5,MAX($B$5-ROUNDDOWN((SQRT($B$6*(X$12+$B$8)+$B$7*($A14+$B$9)))/2,0),1)),"")</f>
        <v>2</v>
      </c>
      <c r="Y14" s="2">
        <f>IF(Y$12&gt;$A14,IF(Y$12=1,5,MAX($B$5-ROUNDDOWN((SQRT($B$6*(Y$12+$B$8)+$B$7*($A14+$B$9)))/2,0),1)),"")</f>
        <v>2</v>
      </c>
      <c r="Z14" s="2">
        <f>IF(Z$12&gt;$A14,IF(Z$12=1,5,MAX($B$5-ROUNDDOWN((SQRT($B$6*(Z$12+$B$8)+$B$7*($A14+$B$9)))/2,0),1)),"")</f>
        <v>2</v>
      </c>
      <c r="AA14" s="2">
        <f>IF(AA$12&gt;$A14,IF(AA$12=1,5,MAX($B$5-ROUNDDOWN((SQRT($B$6*(AA$12+$B$8)+$B$7*($A14+$B$9)))/2,0),1)),"")</f>
        <v>2</v>
      </c>
      <c r="AB14" s="2">
        <f>IF(AB$12&gt;$A14,IF(AB$12=1,5,MAX($B$5-ROUNDDOWN((SQRT($B$6*(AB$12+$B$8)+$B$7*($A14+$B$9)))/2,0),1)),"")</f>
        <v>2</v>
      </c>
    </row>
    <row r="15" spans="1:64" ht="18.75" customHeight="1" x14ac:dyDescent="0.3">
      <c r="A15" s="2">
        <v>2</v>
      </c>
      <c r="B15" s="3" t="str">
        <f>IF(B$12&gt;$A15,IF(B$12=1,5,MAX($B$5-ROUNDDOWN((SQRT($B$6*(B$12+$B$8)+$B$7*($A15+$B$9)))/2,0),1)),"")</f>
        <v/>
      </c>
      <c r="C15" s="3" t="str">
        <f>IF(C$12&gt;$A15,IF(C$12=1,5,MAX($B$5-ROUNDDOWN((SQRT($B$6*(C$12+$B$8)+$B$7*($A15+$B$9)))/2,0),1)),"")</f>
        <v/>
      </c>
      <c r="D15" s="2">
        <f>IF(D$12&gt;$A15,IF(D$12=1,5,MAX($B$5-ROUNDDOWN((SQRT($B$6*(D$12+$B$8)+$B$7*($A15+$B$9)))/2,0),1)),"")</f>
        <v>3</v>
      </c>
      <c r="E15" s="2">
        <f>IF(E$12&gt;$A15,IF(E$12=1,5,MAX($B$5-ROUNDDOWN((SQRT($B$6*(E$12+$B$8)+$B$7*($A15+$B$9)))/2,0),1)),"")</f>
        <v>3</v>
      </c>
      <c r="F15" s="2">
        <f>IF(F$12&gt;$A15,IF(F$12=1,5,MAX($B$5-ROUNDDOWN((SQRT($B$6*(F$12+$B$8)+$B$7*($A15+$B$9)))/2,0),1)),"")</f>
        <v>3</v>
      </c>
      <c r="G15" s="2">
        <f>IF(G$12&gt;$A15,IF(G$12=1,5,MAX($B$5-ROUNDDOWN((SQRT($B$6*(G$12+$B$8)+$B$7*($A15+$B$9)))/2,0),1)),"")</f>
        <v>3</v>
      </c>
      <c r="H15" s="2">
        <f>IF(H$12&gt;$A15,IF(H$12=1,5,MAX($B$5-ROUNDDOWN((SQRT($B$6*(H$12+$B$8)+$B$7*($A15+$B$9)))/2,0),1)),"")</f>
        <v>3</v>
      </c>
      <c r="I15" s="2">
        <f>IF(I$12&gt;$A15,IF(I$12=1,5,MAX($B$5-ROUNDDOWN((SQRT($B$6*(I$12+$B$8)+$B$7*($A15+$B$9)))/2,0),1)),"")</f>
        <v>3</v>
      </c>
      <c r="J15" s="2">
        <f>IF(J$12&gt;$A15,IF(J$12=1,5,MAX($B$5-ROUNDDOWN((SQRT($B$6*(J$12+$B$8)+$B$7*($A15+$B$9)))/2,0),1)),"")</f>
        <v>3</v>
      </c>
      <c r="K15" s="2">
        <f>IF(K$12&gt;$A15,IF(K$12=1,5,MAX($B$5-ROUNDDOWN((SQRT($B$6*(K$12+$B$8)+$B$7*($A15+$B$9)))/2,0),1)),"")</f>
        <v>3</v>
      </c>
      <c r="L15" s="2">
        <f>IF(L$12&gt;$A15,IF(L$12=1,5,MAX($B$5-ROUNDDOWN((SQRT($B$6*(L$12+$B$8)+$B$7*($A15+$B$9)))/2,0),1)),"")</f>
        <v>3</v>
      </c>
      <c r="M15" s="2">
        <f>IF(M$12&gt;$A15,IF(M$12=1,5,MAX($B$5-ROUNDDOWN((SQRT($B$6*(M$12+$B$8)+$B$7*($A15+$B$9)))/2,0),1)),"")</f>
        <v>3</v>
      </c>
      <c r="N15" s="2">
        <f>IF(N$12&gt;$A15,IF(N$12=1,5,MAX($B$5-ROUNDDOWN((SQRT($B$6*(N$12+$B$8)+$B$7*($A15+$B$9)))/2,0),1)),"")</f>
        <v>2</v>
      </c>
      <c r="O15" s="2">
        <f>IF(O$12&gt;$A15,IF(O$12=1,5,MAX($B$5-ROUNDDOWN((SQRT($B$6*(O$12+$B$8)+$B$7*($A15+$B$9)))/2,0),1)),"")</f>
        <v>2</v>
      </c>
      <c r="P15" s="2">
        <f>IF(P$12&gt;$A15,IF(P$12=1,5,MAX($B$5-ROUNDDOWN((SQRT($B$6*(P$12+$B$8)+$B$7*($A15+$B$9)))/2,0),1)),"")</f>
        <v>2</v>
      </c>
      <c r="Q15" s="2">
        <f>IF(Q$12&gt;$A15,IF(Q$12=1,5,MAX($B$5-ROUNDDOWN((SQRT($B$6*(Q$12+$B$8)+$B$7*($A15+$B$9)))/2,0),1)),"")</f>
        <v>2</v>
      </c>
      <c r="R15" s="2">
        <f>IF(R$12&gt;$A15,IF(R$12=1,5,MAX($B$5-ROUNDDOWN((SQRT($B$6*(R$12+$B$8)+$B$7*($A15+$B$9)))/2,0),1)),"")</f>
        <v>2</v>
      </c>
      <c r="S15" s="2">
        <f>IF(S$12&gt;$A15,IF(S$12=1,5,MAX($B$5-ROUNDDOWN((SQRT($B$6*(S$12+$B$8)+$B$7*($A15+$B$9)))/2,0),1)),"")</f>
        <v>2</v>
      </c>
      <c r="T15" s="2">
        <f>IF(T$12&gt;$A15,IF(T$12=1,5,MAX($B$5-ROUNDDOWN((SQRT($B$6*(T$12+$B$8)+$B$7*($A15+$B$9)))/2,0),1)),"")</f>
        <v>2</v>
      </c>
      <c r="U15" s="2">
        <f>IF(U$12&gt;$A15,IF(U$12=1,5,MAX($B$5-ROUNDDOWN((SQRT($B$6*(U$12+$B$8)+$B$7*($A15+$B$9)))/2,0),1)),"")</f>
        <v>2</v>
      </c>
      <c r="V15" s="2">
        <f>IF(V$12&gt;$A15,IF(V$12=1,5,MAX($B$5-ROUNDDOWN((SQRT($B$6*(V$12+$B$8)+$B$7*($A15+$B$9)))/2,0),1)),"")</f>
        <v>2</v>
      </c>
      <c r="W15" s="2">
        <f>IF(W$12&gt;$A15,IF(W$12=1,5,MAX($B$5-ROUNDDOWN((SQRT($B$6*(W$12+$B$8)+$B$7*($A15+$B$9)))/2,0),1)),"")</f>
        <v>2</v>
      </c>
      <c r="X15" s="2">
        <f>IF(X$12&gt;$A15,IF(X$12=1,5,MAX($B$5-ROUNDDOWN((SQRT($B$6*(X$12+$B$8)+$B$7*($A15+$B$9)))/2,0),1)),"")</f>
        <v>2</v>
      </c>
      <c r="Y15" s="2">
        <f>IF(Y$12&gt;$A15,IF(Y$12=1,5,MAX($B$5-ROUNDDOWN((SQRT($B$6*(Y$12+$B$8)+$B$7*($A15+$B$9)))/2,0),1)),"")</f>
        <v>2</v>
      </c>
      <c r="Z15" s="2">
        <f>IF(Z$12&gt;$A15,IF(Z$12=1,5,MAX($B$5-ROUNDDOWN((SQRT($B$6*(Z$12+$B$8)+$B$7*($A15+$B$9)))/2,0),1)),"")</f>
        <v>2</v>
      </c>
      <c r="AA15" s="2">
        <f>IF(AA$12&gt;$A15,IF(AA$12=1,5,MAX($B$5-ROUNDDOWN((SQRT($B$6*(AA$12+$B$8)+$B$7*($A15+$B$9)))/2,0),1)),"")</f>
        <v>2</v>
      </c>
      <c r="AB15" s="2">
        <f>IF(AB$12&gt;$A15,IF(AB$12=1,5,MAX($B$5-ROUNDDOWN((SQRT($B$6*(AB$12+$B$8)+$B$7*($A15+$B$9)))/2,0),1)),"")</f>
        <v>2</v>
      </c>
    </row>
    <row r="16" spans="1:64" ht="18.75" customHeight="1" x14ac:dyDescent="0.3">
      <c r="A16" s="2">
        <v>3</v>
      </c>
      <c r="B16" s="3" t="str">
        <f>IF(B$12&gt;$A16,IF(B$12=1,5,MAX($B$5-ROUNDDOWN((SQRT($B$6*(B$12+$B$8)+$B$7*($A16+$B$9)))/2,0),1)),"")</f>
        <v/>
      </c>
      <c r="C16" s="3" t="str">
        <f>IF(C$12&gt;$A16,IF(C$12=1,5,MAX($B$5-ROUNDDOWN((SQRT($B$6*(C$12+$B$8)+$B$7*($A16+$B$9)))/2,0),1)),"")</f>
        <v/>
      </c>
      <c r="D16" s="3" t="str">
        <f>IF(D$12&gt;$A16,IF(D$12=1,5,MAX($B$5-ROUNDDOWN((SQRT($B$6*(D$12+$B$8)+$B$7*($A16+$B$9)))/2,0),1)),"")</f>
        <v/>
      </c>
      <c r="E16" s="2">
        <f>IF(E$12&gt;$A16,IF(E$12=1,5,MAX($B$5-ROUNDDOWN((SQRT($B$6*(E$12+$B$8)+$B$7*($A16+$B$9)))/2,0),1)),"")</f>
        <v>2</v>
      </c>
      <c r="F16" s="2">
        <f>IF(F$12&gt;$A16,IF(F$12=1,5,MAX($B$5-ROUNDDOWN((SQRT($B$6*(F$12+$B$8)+$B$7*($A16+$B$9)))/2,0),1)),"")</f>
        <v>2</v>
      </c>
      <c r="G16" s="2">
        <f>IF(G$12&gt;$A16,IF(G$12=1,5,MAX($B$5-ROUNDDOWN((SQRT($B$6*(G$12+$B$8)+$B$7*($A16+$B$9)))/2,0),1)),"")</f>
        <v>2</v>
      </c>
      <c r="H16" s="2">
        <f>IF(H$12&gt;$A16,IF(H$12=1,5,MAX($B$5-ROUNDDOWN((SQRT($B$6*(H$12+$B$8)+$B$7*($A16+$B$9)))/2,0),1)),"")</f>
        <v>2</v>
      </c>
      <c r="I16" s="2">
        <f>IF(I$12&gt;$A16,IF(I$12=1,5,MAX($B$5-ROUNDDOWN((SQRT($B$6*(I$12+$B$8)+$B$7*($A16+$B$9)))/2,0),1)),"")</f>
        <v>2</v>
      </c>
      <c r="J16" s="2">
        <f>IF(J$12&gt;$A16,IF(J$12=1,5,MAX($B$5-ROUNDDOWN((SQRT($B$6*(J$12+$B$8)+$B$7*($A16+$B$9)))/2,0),1)),"")</f>
        <v>2</v>
      </c>
      <c r="K16" s="2">
        <f>IF(K$12&gt;$A16,IF(K$12=1,5,MAX($B$5-ROUNDDOWN((SQRT($B$6*(K$12+$B$8)+$B$7*($A16+$B$9)))/2,0),1)),"")</f>
        <v>2</v>
      </c>
      <c r="L16" s="2">
        <f>IF(L$12&gt;$A16,IF(L$12=1,5,MAX($B$5-ROUNDDOWN((SQRT($B$6*(L$12+$B$8)+$B$7*($A16+$B$9)))/2,0),1)),"")</f>
        <v>2</v>
      </c>
      <c r="M16" s="2">
        <f>IF(M$12&gt;$A16,IF(M$12=1,5,MAX($B$5-ROUNDDOWN((SQRT($B$6*(M$12+$B$8)+$B$7*($A16+$B$9)))/2,0),1)),"")</f>
        <v>2</v>
      </c>
      <c r="N16" s="2">
        <f>IF(N$12&gt;$A16,IF(N$12=1,5,MAX($B$5-ROUNDDOWN((SQRT($B$6*(N$12+$B$8)+$B$7*($A16+$B$9)))/2,0),1)),"")</f>
        <v>2</v>
      </c>
      <c r="O16" s="2">
        <f>IF(O$12&gt;$A16,IF(O$12=1,5,MAX($B$5-ROUNDDOWN((SQRT($B$6*(O$12+$B$8)+$B$7*($A16+$B$9)))/2,0),1)),"")</f>
        <v>2</v>
      </c>
      <c r="P16" s="2">
        <f>IF(P$12&gt;$A16,IF(P$12=1,5,MAX($B$5-ROUNDDOWN((SQRT($B$6*(P$12+$B$8)+$B$7*($A16+$B$9)))/2,0),1)),"")</f>
        <v>2</v>
      </c>
      <c r="Q16" s="2">
        <f>IF(Q$12&gt;$A16,IF(Q$12=1,5,MAX($B$5-ROUNDDOWN((SQRT($B$6*(Q$12+$B$8)+$B$7*($A16+$B$9)))/2,0),1)),"")</f>
        <v>2</v>
      </c>
      <c r="R16" s="2">
        <f>IF(R$12&gt;$A16,IF(R$12=1,5,MAX($B$5-ROUNDDOWN((SQRT($B$6*(R$12+$B$8)+$B$7*($A16+$B$9)))/2,0),1)),"")</f>
        <v>2</v>
      </c>
      <c r="S16" s="2">
        <f>IF(S$12&gt;$A16,IF(S$12=1,5,MAX($B$5-ROUNDDOWN((SQRT($B$6*(S$12+$B$8)+$B$7*($A16+$B$9)))/2,0),1)),"")</f>
        <v>2</v>
      </c>
      <c r="T16" s="2">
        <f>IF(T$12&gt;$A16,IF(T$12=1,5,MAX($B$5-ROUNDDOWN((SQRT($B$6*(T$12+$B$8)+$B$7*($A16+$B$9)))/2,0),1)),"")</f>
        <v>2</v>
      </c>
      <c r="U16" s="2">
        <f>IF(U$12&gt;$A16,IF(U$12=1,5,MAX($B$5-ROUNDDOWN((SQRT($B$6*(U$12+$B$8)+$B$7*($A16+$B$9)))/2,0),1)),"")</f>
        <v>2</v>
      </c>
      <c r="V16" s="2">
        <f>IF(V$12&gt;$A16,IF(V$12=1,5,MAX($B$5-ROUNDDOWN((SQRT($B$6*(V$12+$B$8)+$B$7*($A16+$B$9)))/2,0),1)),"")</f>
        <v>2</v>
      </c>
      <c r="W16" s="2">
        <f>IF(W$12&gt;$A16,IF(W$12=1,5,MAX($B$5-ROUNDDOWN((SQRT($B$6*(W$12+$B$8)+$B$7*($A16+$B$9)))/2,0),1)),"")</f>
        <v>2</v>
      </c>
      <c r="X16" s="2">
        <f>IF(X$12&gt;$A16,IF(X$12=1,5,MAX($B$5-ROUNDDOWN((SQRT($B$6*(X$12+$B$8)+$B$7*($A16+$B$9)))/2,0),1)),"")</f>
        <v>2</v>
      </c>
      <c r="Y16" s="2">
        <f>IF(Y$12&gt;$A16,IF(Y$12=1,5,MAX($B$5-ROUNDDOWN((SQRT($B$6*(Y$12+$B$8)+$B$7*($A16+$B$9)))/2,0),1)),"")</f>
        <v>2</v>
      </c>
      <c r="Z16" s="2">
        <f>IF(Z$12&gt;$A16,IF(Z$12=1,5,MAX($B$5-ROUNDDOWN((SQRT($B$6*(Z$12+$B$8)+$B$7*($A16+$B$9)))/2,0),1)),"")</f>
        <v>2</v>
      </c>
      <c r="AA16" s="2">
        <f>IF(AA$12&gt;$A16,IF(AA$12=1,5,MAX($B$5-ROUNDDOWN((SQRT($B$6*(AA$12+$B$8)+$B$7*($A16+$B$9)))/2,0),1)),"")</f>
        <v>2</v>
      </c>
      <c r="AB16" s="2">
        <f>IF(AB$12&gt;$A16,IF(AB$12=1,5,MAX($B$5-ROUNDDOWN((SQRT($B$6*(AB$12+$B$8)+$B$7*($A16+$B$9)))/2,0),1)),"")</f>
        <v>2</v>
      </c>
    </row>
    <row r="17" spans="1:28" ht="18.75" customHeight="1" x14ac:dyDescent="0.3">
      <c r="A17" s="2">
        <v>4</v>
      </c>
      <c r="B17" s="3" t="str">
        <f>IF(B$12&gt;$A17,IF(B$12=1,5,MAX($B$5-ROUNDDOWN((SQRT($B$6*(B$12+$B$8)+$B$7*($A17+$B$9)))/2,0),1)),"")</f>
        <v/>
      </c>
      <c r="C17" s="3" t="str">
        <f>IF(C$12&gt;$A17,IF(C$12=1,5,MAX($B$5-ROUNDDOWN((SQRT($B$6*(C$12+$B$8)+$B$7*($A17+$B$9)))/2,0),1)),"")</f>
        <v/>
      </c>
      <c r="D17" s="3" t="str">
        <f>IF(D$12&gt;$A17,IF(D$12=1,5,MAX($B$5-ROUNDDOWN((SQRT($B$6*(D$12+$B$8)+$B$7*($A17+$B$9)))/2,0),1)),"")</f>
        <v/>
      </c>
      <c r="E17" s="3" t="str">
        <f>IF(E$12&gt;$A17,IF(E$12=1,5,MAX($B$5-ROUNDDOWN((SQRT($B$6*(E$12+$B$8)+$B$7*($A17+$B$9)))/2,0),1)),"")</f>
        <v/>
      </c>
      <c r="F17" s="2">
        <f>IF(F$12&gt;$A17,IF(F$12=1,5,MAX($B$5-ROUNDDOWN((SQRT($B$6*(F$12+$B$8)+$B$7*($A17+$B$9)))/2,0),1)),"")</f>
        <v>2</v>
      </c>
      <c r="G17" s="2">
        <f>IF(G$12&gt;$A17,IF(G$12=1,5,MAX($B$5-ROUNDDOWN((SQRT($B$6*(G$12+$B$8)+$B$7*($A17+$B$9)))/2,0),1)),"")</f>
        <v>2</v>
      </c>
      <c r="H17" s="2">
        <f>IF(H$12&gt;$A17,IF(H$12=1,5,MAX($B$5-ROUNDDOWN((SQRT($B$6*(H$12+$B$8)+$B$7*($A17+$B$9)))/2,0),1)),"")</f>
        <v>2</v>
      </c>
      <c r="I17" s="2">
        <f>IF(I$12&gt;$A17,IF(I$12=1,5,MAX($B$5-ROUNDDOWN((SQRT($B$6*(I$12+$B$8)+$B$7*($A17+$B$9)))/2,0),1)),"")</f>
        <v>2</v>
      </c>
      <c r="J17" s="2">
        <f>IF(J$12&gt;$A17,IF(J$12=1,5,MAX($B$5-ROUNDDOWN((SQRT($B$6*(J$12+$B$8)+$B$7*($A17+$B$9)))/2,0),1)),"")</f>
        <v>2</v>
      </c>
      <c r="K17" s="2">
        <f>IF(K$12&gt;$A17,IF(K$12=1,5,MAX($B$5-ROUNDDOWN((SQRT($B$6*(K$12+$B$8)+$B$7*($A17+$B$9)))/2,0),1)),"")</f>
        <v>2</v>
      </c>
      <c r="L17" s="2">
        <f>IF(L$12&gt;$A17,IF(L$12=1,5,MAX($B$5-ROUNDDOWN((SQRT($B$6*(L$12+$B$8)+$B$7*($A17+$B$9)))/2,0),1)),"")</f>
        <v>2</v>
      </c>
      <c r="M17" s="2">
        <f>IF(M$12&gt;$A17,IF(M$12=1,5,MAX($B$5-ROUNDDOWN((SQRT($B$6*(M$12+$B$8)+$B$7*($A17+$B$9)))/2,0),1)),"")</f>
        <v>2</v>
      </c>
      <c r="N17" s="2">
        <f>IF(N$12&gt;$A17,IF(N$12=1,5,MAX($B$5-ROUNDDOWN((SQRT($B$6*(N$12+$B$8)+$B$7*($A17+$B$9)))/2,0),1)),"")</f>
        <v>2</v>
      </c>
      <c r="O17" s="2">
        <f>IF(O$12&gt;$A17,IF(O$12=1,5,MAX($B$5-ROUNDDOWN((SQRT($B$6*(O$12+$B$8)+$B$7*($A17+$B$9)))/2,0),1)),"")</f>
        <v>2</v>
      </c>
      <c r="P17" s="2">
        <f>IF(P$12&gt;$A17,IF(P$12=1,5,MAX($B$5-ROUNDDOWN((SQRT($B$6*(P$12+$B$8)+$B$7*($A17+$B$9)))/2,0),1)),"")</f>
        <v>2</v>
      </c>
      <c r="Q17" s="2">
        <f>IF(Q$12&gt;$A17,IF(Q$12=1,5,MAX($B$5-ROUNDDOWN((SQRT($B$6*(Q$12+$B$8)+$B$7*($A17+$B$9)))/2,0),1)),"")</f>
        <v>2</v>
      </c>
      <c r="R17" s="2">
        <f>IF(R$12&gt;$A17,IF(R$12=1,5,MAX($B$5-ROUNDDOWN((SQRT($B$6*(R$12+$B$8)+$B$7*($A17+$B$9)))/2,0),1)),"")</f>
        <v>2</v>
      </c>
      <c r="S17" s="2">
        <f>IF(S$12&gt;$A17,IF(S$12=1,5,MAX($B$5-ROUNDDOWN((SQRT($B$6*(S$12+$B$8)+$B$7*($A17+$B$9)))/2,0),1)),"")</f>
        <v>2</v>
      </c>
      <c r="T17" s="2">
        <f>IF(T$12&gt;$A17,IF(T$12=1,5,MAX($B$5-ROUNDDOWN((SQRT($B$6*(T$12+$B$8)+$B$7*($A17+$B$9)))/2,0),1)),"")</f>
        <v>2</v>
      </c>
      <c r="U17" s="2">
        <f>IF(U$12&gt;$A17,IF(U$12=1,5,MAX($B$5-ROUNDDOWN((SQRT($B$6*(U$12+$B$8)+$B$7*($A17+$B$9)))/2,0),1)),"")</f>
        <v>2</v>
      </c>
      <c r="V17" s="2">
        <f>IF(V$12&gt;$A17,IF(V$12=1,5,MAX($B$5-ROUNDDOWN((SQRT($B$6*(V$12+$B$8)+$B$7*($A17+$B$9)))/2,0),1)),"")</f>
        <v>2</v>
      </c>
      <c r="W17" s="2">
        <f>IF(W$12&gt;$A17,IF(W$12=1,5,MAX($B$5-ROUNDDOWN((SQRT($B$6*(W$12+$B$8)+$B$7*($A17+$B$9)))/2,0),1)),"")</f>
        <v>2</v>
      </c>
      <c r="X17" s="2">
        <f>IF(X$12&gt;$A17,IF(X$12=1,5,MAX($B$5-ROUNDDOWN((SQRT($B$6*(X$12+$B$8)+$B$7*($A17+$B$9)))/2,0),1)),"")</f>
        <v>2</v>
      </c>
      <c r="Y17" s="2">
        <f>IF(Y$12&gt;$A17,IF(Y$12=1,5,MAX($B$5-ROUNDDOWN((SQRT($B$6*(Y$12+$B$8)+$B$7*($A17+$B$9)))/2,0),1)),"")</f>
        <v>2</v>
      </c>
      <c r="Z17" s="2">
        <f>IF(Z$12&gt;$A17,IF(Z$12=1,5,MAX($B$5-ROUNDDOWN((SQRT($B$6*(Z$12+$B$8)+$B$7*($A17+$B$9)))/2,0),1)),"")</f>
        <v>2</v>
      </c>
      <c r="AA17" s="2">
        <f>IF(AA$12&gt;$A17,IF(AA$12=1,5,MAX($B$5-ROUNDDOWN((SQRT($B$6*(AA$12+$B$8)+$B$7*($A17+$B$9)))/2,0),1)),"")</f>
        <v>2</v>
      </c>
      <c r="AB17" s="2">
        <f>IF(AB$12&gt;$A17,IF(AB$12=1,5,MAX($B$5-ROUNDDOWN((SQRT($B$6*(AB$12+$B$8)+$B$7*($A17+$B$9)))/2,0),1)),"")</f>
        <v>2</v>
      </c>
    </row>
    <row r="18" spans="1:28" ht="18.75" customHeight="1" x14ac:dyDescent="0.3">
      <c r="A18" s="2">
        <v>5</v>
      </c>
      <c r="B18" s="3" t="str">
        <f>IF(B$12&gt;$A18,IF(B$12=1,5,MAX($B$5-ROUNDDOWN((SQRT($B$6*(B$12+$B$8)+$B$7*($A18+$B$9)))/2,0),1)),"")</f>
        <v/>
      </c>
      <c r="C18" s="3" t="str">
        <f>IF(C$12&gt;$A18,IF(C$12=1,5,MAX($B$5-ROUNDDOWN((SQRT($B$6*(C$12+$B$8)+$B$7*($A18+$B$9)))/2,0),1)),"")</f>
        <v/>
      </c>
      <c r="D18" s="3" t="str">
        <f>IF(D$12&gt;$A18,IF(D$12=1,5,MAX($B$5-ROUNDDOWN((SQRT($B$6*(D$12+$B$8)+$B$7*($A18+$B$9)))/2,0),1)),"")</f>
        <v/>
      </c>
      <c r="E18" s="3" t="str">
        <f>IF(E$12&gt;$A18,IF(E$12=1,5,MAX($B$5-ROUNDDOWN((SQRT($B$6*(E$12+$B$8)+$B$7*($A18+$B$9)))/2,0),1)),"")</f>
        <v/>
      </c>
      <c r="F18" s="3" t="str">
        <f>IF(F$12&gt;$A18,IF(F$12=1,5,MAX($B$5-ROUNDDOWN((SQRT($B$6*(F$12+$B$8)+$B$7*($A18+$B$9)))/2,0),1)),"")</f>
        <v/>
      </c>
      <c r="G18" s="2">
        <f>IF(G$12&gt;$A18,IF(G$12=1,5,MAX($B$5-ROUNDDOWN((SQRT($B$6*(G$12+$B$8)+$B$7*($A18+$B$9)))/2,0),1)),"")</f>
        <v>2</v>
      </c>
      <c r="H18" s="2">
        <f>IF(H$12&gt;$A18,IF(H$12=1,5,MAX($B$5-ROUNDDOWN((SQRT($B$6*(H$12+$B$8)+$B$7*($A18+$B$9)))/2,0),1)),"")</f>
        <v>2</v>
      </c>
      <c r="I18" s="2">
        <f>IF(I$12&gt;$A18,IF(I$12=1,5,MAX($B$5-ROUNDDOWN((SQRT($B$6*(I$12+$B$8)+$B$7*($A18+$B$9)))/2,0),1)),"")</f>
        <v>2</v>
      </c>
      <c r="J18" s="2">
        <f>IF(J$12&gt;$A18,IF(J$12=1,5,MAX($B$5-ROUNDDOWN((SQRT($B$6*(J$12+$B$8)+$B$7*($A18+$B$9)))/2,0),1)),"")</f>
        <v>2</v>
      </c>
      <c r="K18" s="2">
        <f>IF(K$12&gt;$A18,IF(K$12=1,5,MAX($B$5-ROUNDDOWN((SQRT($B$6*(K$12+$B$8)+$B$7*($A18+$B$9)))/2,0),1)),"")</f>
        <v>2</v>
      </c>
      <c r="L18" s="2">
        <f>IF(L$12&gt;$A18,IF(L$12=1,5,MAX($B$5-ROUNDDOWN((SQRT($B$6*(L$12+$B$8)+$B$7*($A18+$B$9)))/2,0),1)),"")</f>
        <v>2</v>
      </c>
      <c r="M18" s="2">
        <f>IF(M$12&gt;$A18,IF(M$12=1,5,MAX($B$5-ROUNDDOWN((SQRT($B$6*(M$12+$B$8)+$B$7*($A18+$B$9)))/2,0),1)),"")</f>
        <v>2</v>
      </c>
      <c r="N18" s="2">
        <f>IF(N$12&gt;$A18,IF(N$12=1,5,MAX($B$5-ROUNDDOWN((SQRT($B$6*(N$12+$B$8)+$B$7*($A18+$B$9)))/2,0),1)),"")</f>
        <v>2</v>
      </c>
      <c r="O18" s="2">
        <f>IF(O$12&gt;$A18,IF(O$12=1,5,MAX($B$5-ROUNDDOWN((SQRT($B$6*(O$12+$B$8)+$B$7*($A18+$B$9)))/2,0),1)),"")</f>
        <v>2</v>
      </c>
      <c r="P18" s="2">
        <f>IF(P$12&gt;$A18,IF(P$12=1,5,MAX($B$5-ROUNDDOWN((SQRT($B$6*(P$12+$B$8)+$B$7*($A18+$B$9)))/2,0),1)),"")</f>
        <v>2</v>
      </c>
      <c r="Q18" s="2">
        <f>IF(Q$12&gt;$A18,IF(Q$12=1,5,MAX($B$5-ROUNDDOWN((SQRT($B$6*(Q$12+$B$8)+$B$7*($A18+$B$9)))/2,0),1)),"")</f>
        <v>2</v>
      </c>
      <c r="R18" s="2">
        <f>IF(R$12&gt;$A18,IF(R$12=1,5,MAX($B$5-ROUNDDOWN((SQRT($B$6*(R$12+$B$8)+$B$7*($A18+$B$9)))/2,0),1)),"")</f>
        <v>2</v>
      </c>
      <c r="S18" s="2">
        <f>IF(S$12&gt;$A18,IF(S$12=1,5,MAX($B$5-ROUNDDOWN((SQRT($B$6*(S$12+$B$8)+$B$7*($A18+$B$9)))/2,0),1)),"")</f>
        <v>2</v>
      </c>
      <c r="T18" s="2">
        <f>IF(T$12&gt;$A18,IF(T$12=1,5,MAX($B$5-ROUNDDOWN((SQRT($B$6*(T$12+$B$8)+$B$7*($A18+$B$9)))/2,0),1)),"")</f>
        <v>2</v>
      </c>
      <c r="U18" s="2">
        <f>IF(U$12&gt;$A18,IF(U$12=1,5,MAX($B$5-ROUNDDOWN((SQRT($B$6*(U$12+$B$8)+$B$7*($A18+$B$9)))/2,0),1)),"")</f>
        <v>2</v>
      </c>
      <c r="V18" s="2">
        <f>IF(V$12&gt;$A18,IF(V$12=1,5,MAX($B$5-ROUNDDOWN((SQRT($B$6*(V$12+$B$8)+$B$7*($A18+$B$9)))/2,0),1)),"")</f>
        <v>2</v>
      </c>
      <c r="W18" s="2">
        <f>IF(W$12&gt;$A18,IF(W$12=1,5,MAX($B$5-ROUNDDOWN((SQRT($B$6*(W$12+$B$8)+$B$7*($A18+$B$9)))/2,0),1)),"")</f>
        <v>1</v>
      </c>
      <c r="X18" s="2">
        <f>IF(X$12&gt;$A18,IF(X$12=1,5,MAX($B$5-ROUNDDOWN((SQRT($B$6*(X$12+$B$8)+$B$7*($A18+$B$9)))/2,0),1)),"")</f>
        <v>1</v>
      </c>
      <c r="Y18" s="2">
        <f>IF(Y$12&gt;$A18,IF(Y$12=1,5,MAX($B$5-ROUNDDOWN((SQRT($B$6*(Y$12+$B$8)+$B$7*($A18+$B$9)))/2,0),1)),"")</f>
        <v>1</v>
      </c>
      <c r="Z18" s="2">
        <f>IF(Z$12&gt;$A18,IF(Z$12=1,5,MAX($B$5-ROUNDDOWN((SQRT($B$6*(Z$12+$B$8)+$B$7*($A18+$B$9)))/2,0),1)),"")</f>
        <v>1</v>
      </c>
      <c r="AA18" s="2">
        <f>IF(AA$12&gt;$A18,IF(AA$12=1,5,MAX($B$5-ROUNDDOWN((SQRT($B$6*(AA$12+$B$8)+$B$7*($A18+$B$9)))/2,0),1)),"")</f>
        <v>1</v>
      </c>
      <c r="AB18" s="2">
        <f>IF(AB$12&gt;$A18,IF(AB$12=1,5,MAX($B$5-ROUNDDOWN((SQRT($B$6*(AB$12+$B$8)+$B$7*($A18+$B$9)))/2,0),1)),"")</f>
        <v>1</v>
      </c>
    </row>
    <row r="19" spans="1:28" ht="18.75" customHeight="1" x14ac:dyDescent="0.3">
      <c r="A19" s="2">
        <v>6</v>
      </c>
      <c r="B19" s="3" t="str">
        <f>IF(B$12&gt;$A19,IF(B$12=1,5,MAX($B$5-ROUNDDOWN((SQRT($B$6*(B$12+$B$8)+$B$7*($A19+$B$9)))/2,0),1)),"")</f>
        <v/>
      </c>
      <c r="C19" s="3" t="str">
        <f>IF(C$12&gt;$A19,IF(C$12=1,5,MAX($B$5-ROUNDDOWN((SQRT($B$6*(C$12+$B$8)+$B$7*($A19+$B$9)))/2,0),1)),"")</f>
        <v/>
      </c>
      <c r="D19" s="3" t="str">
        <f>IF(D$12&gt;$A19,IF(D$12=1,5,MAX($B$5-ROUNDDOWN((SQRT($B$6*(D$12+$B$8)+$B$7*($A19+$B$9)))/2,0),1)),"")</f>
        <v/>
      </c>
      <c r="E19" s="3" t="str">
        <f>IF(E$12&gt;$A19,IF(E$12=1,5,MAX($B$5-ROUNDDOWN((SQRT($B$6*(E$12+$B$8)+$B$7*($A19+$B$9)))/2,0),1)),"")</f>
        <v/>
      </c>
      <c r="F19" s="3" t="str">
        <f>IF(F$12&gt;$A19,IF(F$12=1,5,MAX($B$5-ROUNDDOWN((SQRT($B$6*(F$12+$B$8)+$B$7*($A19+$B$9)))/2,0),1)),"")</f>
        <v/>
      </c>
      <c r="G19" s="3" t="str">
        <f>IF(G$12&gt;$A19,IF(G$12=1,5,MAX($B$5-ROUNDDOWN((SQRT($B$6*(G$12+$B$8)+$B$7*($A19+$B$9)))/2,0),1)),"")</f>
        <v/>
      </c>
      <c r="H19" s="2">
        <f>IF(H$12&gt;$A19,IF(H$12=1,5,MAX($B$5-ROUNDDOWN((SQRT($B$6*(H$12+$B$8)+$B$7*($A19+$B$9)))/2,0),1)),"")</f>
        <v>2</v>
      </c>
      <c r="I19" s="2">
        <f>IF(I$12&gt;$A19,IF(I$12=1,5,MAX($B$5-ROUNDDOWN((SQRT($B$6*(I$12+$B$8)+$B$7*($A19+$B$9)))/2,0),1)),"")</f>
        <v>2</v>
      </c>
      <c r="J19" s="2">
        <f>IF(J$12&gt;$A19,IF(J$12=1,5,MAX($B$5-ROUNDDOWN((SQRT($B$6*(J$12+$B$8)+$B$7*($A19+$B$9)))/2,0),1)),"")</f>
        <v>2</v>
      </c>
      <c r="K19" s="2">
        <f>IF(K$12&gt;$A19,IF(K$12=1,5,MAX($B$5-ROUNDDOWN((SQRT($B$6*(K$12+$B$8)+$B$7*($A19+$B$9)))/2,0),1)),"")</f>
        <v>2</v>
      </c>
      <c r="L19" s="2">
        <f>IF(L$12&gt;$A19,IF(L$12=1,5,MAX($B$5-ROUNDDOWN((SQRT($B$6*(L$12+$B$8)+$B$7*($A19+$B$9)))/2,0),1)),"")</f>
        <v>2</v>
      </c>
      <c r="M19" s="2">
        <f>IF(M$12&gt;$A19,IF(M$12=1,5,MAX($B$5-ROUNDDOWN((SQRT($B$6*(M$12+$B$8)+$B$7*($A19+$B$9)))/2,0),1)),"")</f>
        <v>2</v>
      </c>
      <c r="N19" s="2">
        <f>IF(N$12&gt;$A19,IF(N$12=1,5,MAX($B$5-ROUNDDOWN((SQRT($B$6*(N$12+$B$8)+$B$7*($A19+$B$9)))/2,0),1)),"")</f>
        <v>1</v>
      </c>
      <c r="O19" s="2">
        <f>IF(O$12&gt;$A19,IF(O$12=1,5,MAX($B$5-ROUNDDOWN((SQRT($B$6*(O$12+$B$8)+$B$7*($A19+$B$9)))/2,0),1)),"")</f>
        <v>1</v>
      </c>
      <c r="P19" s="2">
        <f>IF(P$12&gt;$A19,IF(P$12=1,5,MAX($B$5-ROUNDDOWN((SQRT($B$6*(P$12+$B$8)+$B$7*($A19+$B$9)))/2,0),1)),"")</f>
        <v>1</v>
      </c>
      <c r="Q19" s="2">
        <f>IF(Q$12&gt;$A19,IF(Q$12=1,5,MAX($B$5-ROUNDDOWN((SQRT($B$6*(Q$12+$B$8)+$B$7*($A19+$B$9)))/2,0),1)),"")</f>
        <v>1</v>
      </c>
      <c r="R19" s="2">
        <f>IF(R$12&gt;$A19,IF(R$12=1,5,MAX($B$5-ROUNDDOWN((SQRT($B$6*(R$12+$B$8)+$B$7*($A19+$B$9)))/2,0),1)),"")</f>
        <v>1</v>
      </c>
      <c r="S19" s="2">
        <f>IF(S$12&gt;$A19,IF(S$12=1,5,MAX($B$5-ROUNDDOWN((SQRT($B$6*(S$12+$B$8)+$B$7*($A19+$B$9)))/2,0),1)),"")</f>
        <v>1</v>
      </c>
      <c r="T19" s="2">
        <f>IF(T$12&gt;$A19,IF(T$12=1,5,MAX($B$5-ROUNDDOWN((SQRT($B$6*(T$12+$B$8)+$B$7*($A19+$B$9)))/2,0),1)),"")</f>
        <v>1</v>
      </c>
      <c r="U19" s="2">
        <f>IF(U$12&gt;$A19,IF(U$12=1,5,MAX($B$5-ROUNDDOWN((SQRT($B$6*(U$12+$B$8)+$B$7*($A19+$B$9)))/2,0),1)),"")</f>
        <v>1</v>
      </c>
      <c r="V19" s="2">
        <f>IF(V$12&gt;$A19,IF(V$12=1,5,MAX($B$5-ROUNDDOWN((SQRT($B$6*(V$12+$B$8)+$B$7*($A19+$B$9)))/2,0),1)),"")</f>
        <v>1</v>
      </c>
      <c r="W19" s="2">
        <f>IF(W$12&gt;$A19,IF(W$12=1,5,MAX($B$5-ROUNDDOWN((SQRT($B$6*(W$12+$B$8)+$B$7*($A19+$B$9)))/2,0),1)),"")</f>
        <v>1</v>
      </c>
      <c r="X19" s="2">
        <f>IF(X$12&gt;$A19,IF(X$12=1,5,MAX($B$5-ROUNDDOWN((SQRT($B$6*(X$12+$B$8)+$B$7*($A19+$B$9)))/2,0),1)),"")</f>
        <v>1</v>
      </c>
      <c r="Y19" s="2">
        <f>IF(Y$12&gt;$A19,IF(Y$12=1,5,MAX($B$5-ROUNDDOWN((SQRT($B$6*(Y$12+$B$8)+$B$7*($A19+$B$9)))/2,0),1)),"")</f>
        <v>1</v>
      </c>
      <c r="Z19" s="2">
        <f>IF(Z$12&gt;$A19,IF(Z$12=1,5,MAX($B$5-ROUNDDOWN((SQRT($B$6*(Z$12+$B$8)+$B$7*($A19+$B$9)))/2,0),1)),"")</f>
        <v>1</v>
      </c>
      <c r="AA19" s="2">
        <f>IF(AA$12&gt;$A19,IF(AA$12=1,5,MAX($B$5-ROUNDDOWN((SQRT($B$6*(AA$12+$B$8)+$B$7*($A19+$B$9)))/2,0),1)),"")</f>
        <v>1</v>
      </c>
      <c r="AB19" s="2">
        <f>IF(AB$12&gt;$A19,IF(AB$12=1,5,MAX($B$5-ROUNDDOWN((SQRT($B$6*(AB$12+$B$8)+$B$7*($A19+$B$9)))/2,0),1)),"")</f>
        <v>1</v>
      </c>
    </row>
    <row r="20" spans="1:28" ht="18.75" customHeight="1" x14ac:dyDescent="0.3">
      <c r="A20" s="2">
        <v>7</v>
      </c>
      <c r="B20" s="3" t="str">
        <f>IF(B$12&gt;$A20,IF(B$12=1,5,MAX($B$5-ROUNDDOWN((SQRT($B$6*(B$12+$B$8)+$B$7*($A20+$B$9)))/2,0),1)),"")</f>
        <v/>
      </c>
      <c r="C20" s="3" t="str">
        <f>IF(C$12&gt;$A20,IF(C$12=1,5,MAX($B$5-ROUNDDOWN((SQRT($B$6*(C$12+$B$8)+$B$7*($A20+$B$9)))/2,0),1)),"")</f>
        <v/>
      </c>
      <c r="D20" s="3" t="str">
        <f>IF(D$12&gt;$A20,IF(D$12=1,5,MAX($B$5-ROUNDDOWN((SQRT($B$6*(D$12+$B$8)+$B$7*($A20+$B$9)))/2,0),1)),"")</f>
        <v/>
      </c>
      <c r="E20" s="3" t="str">
        <f>IF(E$12&gt;$A20,IF(E$12=1,5,MAX($B$5-ROUNDDOWN((SQRT($B$6*(E$12+$B$8)+$B$7*($A20+$B$9)))/2,0),1)),"")</f>
        <v/>
      </c>
      <c r="F20" s="3" t="str">
        <f>IF(F$12&gt;$A20,IF(F$12=1,5,MAX($B$5-ROUNDDOWN((SQRT($B$6*(F$12+$B$8)+$B$7*($A20+$B$9)))/2,0),1)),"")</f>
        <v/>
      </c>
      <c r="G20" s="3" t="str">
        <f>IF(G$12&gt;$A20,IF(G$12=1,5,MAX($B$5-ROUNDDOWN((SQRT($B$6*(G$12+$B$8)+$B$7*($A20+$B$9)))/2,0),1)),"")</f>
        <v/>
      </c>
      <c r="H20" s="3" t="str">
        <f>IF(H$12&gt;$A20,IF(H$12=1,5,MAX($B$5-ROUNDDOWN((SQRT($B$6*(H$12+$B$8)+$B$7*($A20+$B$9)))/2,0),1)),"")</f>
        <v/>
      </c>
      <c r="I20" s="2">
        <f>IF(I$12&gt;$A20,IF(I$12=1,5,MAX($B$5-ROUNDDOWN((SQRT($B$6*(I$12+$B$8)+$B$7*($A20+$B$9)))/2,0),1)),"")</f>
        <v>1</v>
      </c>
      <c r="J20" s="2">
        <f>IF(J$12&gt;$A20,IF(J$12=1,5,MAX($B$5-ROUNDDOWN((SQRT($B$6*(J$12+$B$8)+$B$7*($A20+$B$9)))/2,0),1)),"")</f>
        <v>1</v>
      </c>
      <c r="K20" s="2">
        <f>IF(K$12&gt;$A20,IF(K$12=1,5,MAX($B$5-ROUNDDOWN((SQRT($B$6*(K$12+$B$8)+$B$7*($A20+$B$9)))/2,0),1)),"")</f>
        <v>1</v>
      </c>
      <c r="L20" s="2">
        <f>IF(L$12&gt;$A20,IF(L$12=1,5,MAX($B$5-ROUNDDOWN((SQRT($B$6*(L$12+$B$8)+$B$7*($A20+$B$9)))/2,0),1)),"")</f>
        <v>1</v>
      </c>
      <c r="M20" s="2">
        <f>IF(M$12&gt;$A20,IF(M$12=1,5,MAX($B$5-ROUNDDOWN((SQRT($B$6*(M$12+$B$8)+$B$7*($A20+$B$9)))/2,0),1)),"")</f>
        <v>1</v>
      </c>
      <c r="N20" s="2">
        <f>IF(N$12&gt;$A20,IF(N$12=1,5,MAX($B$5-ROUNDDOWN((SQRT($B$6*(N$12+$B$8)+$B$7*($A20+$B$9)))/2,0),1)),"")</f>
        <v>1</v>
      </c>
      <c r="O20" s="2">
        <f>IF(O$12&gt;$A20,IF(O$12=1,5,MAX($B$5-ROUNDDOWN((SQRT($B$6*(O$12+$B$8)+$B$7*($A20+$B$9)))/2,0),1)),"")</f>
        <v>1</v>
      </c>
      <c r="P20" s="2">
        <f>IF(P$12&gt;$A20,IF(P$12=1,5,MAX($B$5-ROUNDDOWN((SQRT($B$6*(P$12+$B$8)+$B$7*($A20+$B$9)))/2,0),1)),"")</f>
        <v>1</v>
      </c>
      <c r="Q20" s="2">
        <f>IF(Q$12&gt;$A20,IF(Q$12=1,5,MAX($B$5-ROUNDDOWN((SQRT($B$6*(Q$12+$B$8)+$B$7*($A20+$B$9)))/2,0),1)),"")</f>
        <v>1</v>
      </c>
      <c r="R20" s="2">
        <f>IF(R$12&gt;$A20,IF(R$12=1,5,MAX($B$5-ROUNDDOWN((SQRT($B$6*(R$12+$B$8)+$B$7*($A20+$B$9)))/2,0),1)),"")</f>
        <v>1</v>
      </c>
      <c r="S20" s="2">
        <f>IF(S$12&gt;$A20,IF(S$12=1,5,MAX($B$5-ROUNDDOWN((SQRT($B$6*(S$12+$B$8)+$B$7*($A20+$B$9)))/2,0),1)),"")</f>
        <v>1</v>
      </c>
      <c r="T20" s="2">
        <f>IF(T$12&gt;$A20,IF(T$12=1,5,MAX($B$5-ROUNDDOWN((SQRT($B$6*(T$12+$B$8)+$B$7*($A20+$B$9)))/2,0),1)),"")</f>
        <v>1</v>
      </c>
      <c r="U20" s="2">
        <f>IF(U$12&gt;$A20,IF(U$12=1,5,MAX($B$5-ROUNDDOWN((SQRT($B$6*(U$12+$B$8)+$B$7*($A20+$B$9)))/2,0),1)),"")</f>
        <v>1</v>
      </c>
      <c r="V20" s="2">
        <f>IF(V$12&gt;$A20,IF(V$12=1,5,MAX($B$5-ROUNDDOWN((SQRT($B$6*(V$12+$B$8)+$B$7*($A20+$B$9)))/2,0),1)),"")</f>
        <v>1</v>
      </c>
      <c r="W20" s="2">
        <f>IF(W$12&gt;$A20,IF(W$12=1,5,MAX($B$5-ROUNDDOWN((SQRT($B$6*(W$12+$B$8)+$B$7*($A20+$B$9)))/2,0),1)),"")</f>
        <v>1</v>
      </c>
      <c r="X20" s="2">
        <f>IF(X$12&gt;$A20,IF(X$12=1,5,MAX($B$5-ROUNDDOWN((SQRT($B$6*(X$12+$B$8)+$B$7*($A20+$B$9)))/2,0),1)),"")</f>
        <v>1</v>
      </c>
      <c r="Y20" s="2">
        <f>IF(Y$12&gt;$A20,IF(Y$12=1,5,MAX($B$5-ROUNDDOWN((SQRT($B$6*(Y$12+$B$8)+$B$7*($A20+$B$9)))/2,0),1)),"")</f>
        <v>1</v>
      </c>
      <c r="Z20" s="2">
        <f>IF(Z$12&gt;$A20,IF(Z$12=1,5,MAX($B$5-ROUNDDOWN((SQRT($B$6*(Z$12+$B$8)+$B$7*($A20+$B$9)))/2,0),1)),"")</f>
        <v>1</v>
      </c>
      <c r="AA20" s="2">
        <f>IF(AA$12&gt;$A20,IF(AA$12=1,5,MAX($B$5-ROUNDDOWN((SQRT($B$6*(AA$12+$B$8)+$B$7*($A20+$B$9)))/2,0),1)),"")</f>
        <v>1</v>
      </c>
      <c r="AB20" s="2">
        <f>IF(AB$12&gt;$A20,IF(AB$12=1,5,MAX($B$5-ROUNDDOWN((SQRT($B$6*(AB$12+$B$8)+$B$7*($A20+$B$9)))/2,0),1)),"")</f>
        <v>1</v>
      </c>
    </row>
    <row r="21" spans="1:28" ht="18.75" customHeight="1" x14ac:dyDescent="0.3">
      <c r="A21" s="2">
        <v>8</v>
      </c>
      <c r="B21" s="3" t="str">
        <f>IF(B$12&gt;$A21,IF(B$12=1,5,MAX($B$5-ROUNDDOWN((SQRT($B$6*(B$12+$B$8)+$B$7*($A21+$B$9)))/2,0),1)),"")</f>
        <v/>
      </c>
      <c r="C21" s="3" t="str">
        <f>IF(C$12&gt;$A21,IF(C$12=1,5,MAX($B$5-ROUNDDOWN((SQRT($B$6*(C$12+$B$8)+$B$7*($A21+$B$9)))/2,0),1)),"")</f>
        <v/>
      </c>
      <c r="D21" s="3" t="str">
        <f>IF(D$12&gt;$A21,IF(D$12=1,5,MAX($B$5-ROUNDDOWN((SQRT($B$6*(D$12+$B$8)+$B$7*($A21+$B$9)))/2,0),1)),"")</f>
        <v/>
      </c>
      <c r="E21" s="3" t="str">
        <f>IF(E$12&gt;$A21,IF(E$12=1,5,MAX($B$5-ROUNDDOWN((SQRT($B$6*(E$12+$B$8)+$B$7*($A21+$B$9)))/2,0),1)),"")</f>
        <v/>
      </c>
      <c r="F21" s="3" t="str">
        <f>IF(F$12&gt;$A21,IF(F$12=1,5,MAX($B$5-ROUNDDOWN((SQRT($B$6*(F$12+$B$8)+$B$7*($A21+$B$9)))/2,0),1)),"")</f>
        <v/>
      </c>
      <c r="G21" s="3" t="str">
        <f>IF(G$12&gt;$A21,IF(G$12=1,5,MAX($B$5-ROUNDDOWN((SQRT($B$6*(G$12+$B$8)+$B$7*($A21+$B$9)))/2,0),1)),"")</f>
        <v/>
      </c>
      <c r="H21" s="3" t="str">
        <f>IF(H$12&gt;$A21,IF(H$12=1,5,MAX($B$5-ROUNDDOWN((SQRT($B$6*(H$12+$B$8)+$B$7*($A21+$B$9)))/2,0),1)),"")</f>
        <v/>
      </c>
      <c r="I21" s="3" t="str">
        <f>IF(I$12&gt;$A21,IF(I$12=1,5,MAX($B$5-ROUNDDOWN((SQRT($B$6*(I$12+$B$8)+$B$7*($A21+$B$9)))/2,0),1)),"")</f>
        <v/>
      </c>
      <c r="J21" s="4">
        <f>IF(J$12&gt;$A21,IF(J$12=1,5,MAX($B$5-ROUNDDOWN((SQRT($B$6*(J$12+$B$8)+$B$7*($A21+$B$9)))/2,0),1)),"")</f>
        <v>1</v>
      </c>
      <c r="K21" s="2">
        <f>IF(K$12&gt;$A21,IF(K$12=1,5,MAX($B$5-ROUNDDOWN((SQRT($B$6*(K$12+$B$8)+$B$7*($A21+$B$9)))/2,0),1)),"")</f>
        <v>1</v>
      </c>
      <c r="L21" s="2">
        <f>IF(L$12&gt;$A21,IF(L$12=1,5,MAX($B$5-ROUNDDOWN((SQRT($B$6*(L$12+$B$8)+$B$7*($A21+$B$9)))/2,0),1)),"")</f>
        <v>1</v>
      </c>
      <c r="M21" s="2">
        <f>IF(M$12&gt;$A21,IF(M$12=1,5,MAX($B$5-ROUNDDOWN((SQRT($B$6*(M$12+$B$8)+$B$7*($A21+$B$9)))/2,0),1)),"")</f>
        <v>1</v>
      </c>
      <c r="N21" s="2">
        <f>IF(N$12&gt;$A21,IF(N$12=1,5,MAX($B$5-ROUNDDOWN((SQRT($B$6*(N$12+$B$8)+$B$7*($A21+$B$9)))/2,0),1)),"")</f>
        <v>1</v>
      </c>
      <c r="O21" s="2">
        <f>IF(O$12&gt;$A21,IF(O$12=1,5,MAX($B$5-ROUNDDOWN((SQRT($B$6*(O$12+$B$8)+$B$7*($A21+$B$9)))/2,0),1)),"")</f>
        <v>1</v>
      </c>
      <c r="P21" s="2">
        <f>IF(P$12&gt;$A21,IF(P$12=1,5,MAX($B$5-ROUNDDOWN((SQRT($B$6*(P$12+$B$8)+$B$7*($A21+$B$9)))/2,0),1)),"")</f>
        <v>1</v>
      </c>
      <c r="Q21" s="2">
        <f>IF(Q$12&gt;$A21,IF(Q$12=1,5,MAX($B$5-ROUNDDOWN((SQRT($B$6*(Q$12+$B$8)+$B$7*($A21+$B$9)))/2,0),1)),"")</f>
        <v>1</v>
      </c>
      <c r="R21" s="2">
        <f>IF(R$12&gt;$A21,IF(R$12=1,5,MAX($B$5-ROUNDDOWN((SQRT($B$6*(R$12+$B$8)+$B$7*($A21+$B$9)))/2,0),1)),"")</f>
        <v>1</v>
      </c>
      <c r="S21" s="2">
        <f>IF(S$12&gt;$A21,IF(S$12=1,5,MAX($B$5-ROUNDDOWN((SQRT($B$6*(S$12+$B$8)+$B$7*($A21+$B$9)))/2,0),1)),"")</f>
        <v>1</v>
      </c>
      <c r="T21" s="2">
        <f>IF(T$12&gt;$A21,IF(T$12=1,5,MAX($B$5-ROUNDDOWN((SQRT($B$6*(T$12+$B$8)+$B$7*($A21+$B$9)))/2,0),1)),"")</f>
        <v>1</v>
      </c>
      <c r="U21" s="2">
        <f>IF(U$12&gt;$A21,IF(U$12=1,5,MAX($B$5-ROUNDDOWN((SQRT($B$6*(U$12+$B$8)+$B$7*($A21+$B$9)))/2,0),1)),"")</f>
        <v>1</v>
      </c>
      <c r="V21" s="2">
        <f>IF(V$12&gt;$A21,IF(V$12=1,5,MAX($B$5-ROUNDDOWN((SQRT($B$6*(V$12+$B$8)+$B$7*($A21+$B$9)))/2,0),1)),"")</f>
        <v>1</v>
      </c>
      <c r="W21" s="2">
        <f>IF(W$12&gt;$A21,IF(W$12=1,5,MAX($B$5-ROUNDDOWN((SQRT($B$6*(W$12+$B$8)+$B$7*($A21+$B$9)))/2,0),1)),"")</f>
        <v>1</v>
      </c>
      <c r="X21" s="2">
        <f>IF(X$12&gt;$A21,IF(X$12=1,5,MAX($B$5-ROUNDDOWN((SQRT($B$6*(X$12+$B$8)+$B$7*($A21+$B$9)))/2,0),1)),"")</f>
        <v>1</v>
      </c>
      <c r="Y21" s="2">
        <f>IF(Y$12&gt;$A21,IF(Y$12=1,5,MAX($B$5-ROUNDDOWN((SQRT($B$6*(Y$12+$B$8)+$B$7*($A21+$B$9)))/2,0),1)),"")</f>
        <v>1</v>
      </c>
      <c r="Z21" s="2">
        <f>IF(Z$12&gt;$A21,IF(Z$12=1,5,MAX($B$5-ROUNDDOWN((SQRT($B$6*(Z$12+$B$8)+$B$7*($A21+$B$9)))/2,0),1)),"")</f>
        <v>1</v>
      </c>
      <c r="AA21" s="2">
        <f>IF(AA$12&gt;$A21,IF(AA$12=1,5,MAX($B$5-ROUNDDOWN((SQRT($B$6*(AA$12+$B$8)+$B$7*($A21+$B$9)))/2,0),1)),"")</f>
        <v>1</v>
      </c>
      <c r="AB21" s="2">
        <f>IF(AB$12&gt;$A21,IF(AB$12=1,5,MAX($B$5-ROUNDDOWN((SQRT($B$6*(AB$12+$B$8)+$B$7*($A21+$B$9)))/2,0),1)),"")</f>
        <v>1</v>
      </c>
    </row>
    <row r="22" spans="1:28" ht="18.75" customHeight="1" x14ac:dyDescent="0.3">
      <c r="A22" s="2">
        <v>9</v>
      </c>
      <c r="B22" s="3" t="str">
        <f>IF(B$12&gt;$A22,IF(B$12=1,5,MAX($B$5-ROUNDDOWN((SQRT($B$6*(B$12+$B$8)+$B$7*($A22+$B$9)))/2,0),1)),"")</f>
        <v/>
      </c>
      <c r="C22" s="3" t="str">
        <f>IF(C$12&gt;$A22,IF(C$12=1,5,MAX($B$5-ROUNDDOWN((SQRT($B$6*(C$12+$B$8)+$B$7*($A22+$B$9)))/2,0),1)),"")</f>
        <v/>
      </c>
      <c r="D22" s="3" t="str">
        <f>IF(D$12&gt;$A22,IF(D$12=1,5,MAX($B$5-ROUNDDOWN((SQRT($B$6*(D$12+$B$8)+$B$7*($A22+$B$9)))/2,0),1)),"")</f>
        <v/>
      </c>
      <c r="E22" s="3" t="str">
        <f>IF(E$12&gt;$A22,IF(E$12=1,5,MAX($B$5-ROUNDDOWN((SQRT($B$6*(E$12+$B$8)+$B$7*($A22+$B$9)))/2,0),1)),"")</f>
        <v/>
      </c>
      <c r="F22" s="3" t="str">
        <f>IF(F$12&gt;$A22,IF(F$12=1,5,MAX($B$5-ROUNDDOWN((SQRT($B$6*(F$12+$B$8)+$B$7*($A22+$B$9)))/2,0),1)),"")</f>
        <v/>
      </c>
      <c r="G22" s="3" t="str">
        <f>IF(G$12&gt;$A22,IF(G$12=1,5,MAX($B$5-ROUNDDOWN((SQRT($B$6*(G$12+$B$8)+$B$7*($A22+$B$9)))/2,0),1)),"")</f>
        <v/>
      </c>
      <c r="H22" s="3" t="str">
        <f>IF(H$12&gt;$A22,IF(H$12=1,5,MAX($B$5-ROUNDDOWN((SQRT($B$6*(H$12+$B$8)+$B$7*($A22+$B$9)))/2,0),1)),"")</f>
        <v/>
      </c>
      <c r="I22" s="3" t="str">
        <f>IF(I$12&gt;$A22,IF(I$12=1,5,MAX($B$5-ROUNDDOWN((SQRT($B$6*(I$12+$B$8)+$B$7*($A22+$B$9)))/2,0),1)),"")</f>
        <v/>
      </c>
      <c r="J22" s="3" t="str">
        <f>IF(J$12&gt;$A22,IF(J$12=1,5,MAX($B$5-ROUNDDOWN((SQRT($B$6*(J$12+$B$8)+$B$7*($A22+$B$9)))/2,0),1)),"")</f>
        <v/>
      </c>
      <c r="K22" s="2">
        <f>IF(K$12&gt;$A22,IF(K$12=1,5,MAX($B$5-ROUNDDOWN((SQRT($B$6*(K$12+$B$8)+$B$7*($A22+$B$9)))/2,0),1)),"")</f>
        <v>1</v>
      </c>
      <c r="L22" s="2">
        <f>IF(L$12&gt;$A22,IF(L$12=1,5,MAX($B$5-ROUNDDOWN((SQRT($B$6*(L$12+$B$8)+$B$7*($A22+$B$9)))/2,0),1)),"")</f>
        <v>1</v>
      </c>
      <c r="M22" s="2">
        <f>IF(M$12&gt;$A22,IF(M$12=1,5,MAX($B$5-ROUNDDOWN((SQRT($B$6*(M$12+$B$8)+$B$7*($A22+$B$9)))/2,0),1)),"")</f>
        <v>1</v>
      </c>
      <c r="N22" s="2">
        <f>IF(N$12&gt;$A22,IF(N$12=1,5,MAX($B$5-ROUNDDOWN((SQRT($B$6*(N$12+$B$8)+$B$7*($A22+$B$9)))/2,0),1)),"")</f>
        <v>1</v>
      </c>
      <c r="O22" s="2">
        <f>IF(O$12&gt;$A22,IF(O$12=1,5,MAX($B$5-ROUNDDOWN((SQRT($B$6*(O$12+$B$8)+$B$7*($A22+$B$9)))/2,0),1)),"")</f>
        <v>1</v>
      </c>
      <c r="P22" s="2">
        <f>IF(P$12&gt;$A22,IF(P$12=1,5,MAX($B$5-ROUNDDOWN((SQRT($B$6*(P$12+$B$8)+$B$7*($A22+$B$9)))/2,0),1)),"")</f>
        <v>1</v>
      </c>
      <c r="Q22" s="2">
        <f>IF(Q$12&gt;$A22,IF(Q$12=1,5,MAX($B$5-ROUNDDOWN((SQRT($B$6*(Q$12+$B$8)+$B$7*($A22+$B$9)))/2,0),1)),"")</f>
        <v>1</v>
      </c>
      <c r="R22" s="2">
        <f>IF(R$12&gt;$A22,IF(R$12=1,5,MAX($B$5-ROUNDDOWN((SQRT($B$6*(R$12+$B$8)+$B$7*($A22+$B$9)))/2,0),1)),"")</f>
        <v>1</v>
      </c>
      <c r="S22" s="2">
        <f>IF(S$12&gt;$A22,IF(S$12=1,5,MAX($B$5-ROUNDDOWN((SQRT($B$6*(S$12+$B$8)+$B$7*($A22+$B$9)))/2,0),1)),"")</f>
        <v>1</v>
      </c>
      <c r="T22" s="2">
        <f>IF(T$12&gt;$A22,IF(T$12=1,5,MAX($B$5-ROUNDDOWN((SQRT($B$6*(T$12+$B$8)+$B$7*($A22+$B$9)))/2,0),1)),"")</f>
        <v>1</v>
      </c>
      <c r="U22" s="2">
        <f>IF(U$12&gt;$A22,IF(U$12=1,5,MAX($B$5-ROUNDDOWN((SQRT($B$6*(U$12+$B$8)+$B$7*($A22+$B$9)))/2,0),1)),"")</f>
        <v>1</v>
      </c>
      <c r="V22" s="2">
        <f>IF(V$12&gt;$A22,IF(V$12=1,5,MAX($B$5-ROUNDDOWN((SQRT($B$6*(V$12+$B$8)+$B$7*($A22+$B$9)))/2,0),1)),"")</f>
        <v>1</v>
      </c>
      <c r="W22" s="2">
        <f>IF(W$12&gt;$A22,IF(W$12=1,5,MAX($B$5-ROUNDDOWN((SQRT($B$6*(W$12+$B$8)+$B$7*($A22+$B$9)))/2,0),1)),"")</f>
        <v>1</v>
      </c>
      <c r="X22" s="2">
        <f>IF(X$12&gt;$A22,IF(X$12=1,5,MAX($B$5-ROUNDDOWN((SQRT($B$6*(X$12+$B$8)+$B$7*($A22+$B$9)))/2,0),1)),"")</f>
        <v>1</v>
      </c>
      <c r="Y22" s="2">
        <f>IF(Y$12&gt;$A22,IF(Y$12=1,5,MAX($B$5-ROUNDDOWN((SQRT($B$6*(Y$12+$B$8)+$B$7*($A22+$B$9)))/2,0),1)),"")</f>
        <v>1</v>
      </c>
      <c r="Z22" s="2">
        <f>IF(Z$12&gt;$A22,IF(Z$12=1,5,MAX($B$5-ROUNDDOWN((SQRT($B$6*(Z$12+$B$8)+$B$7*($A22+$B$9)))/2,0),1)),"")</f>
        <v>1</v>
      </c>
      <c r="AA22" s="2">
        <f>IF(AA$12&gt;$A22,IF(AA$12=1,5,MAX($B$5-ROUNDDOWN((SQRT($B$6*(AA$12+$B$8)+$B$7*($A22+$B$9)))/2,0),1)),"")</f>
        <v>1</v>
      </c>
      <c r="AB22" s="2">
        <f>IF(AB$12&gt;$A22,IF(AB$12=1,5,MAX($B$5-ROUNDDOWN((SQRT($B$6*(AB$12+$B$8)+$B$7*($A22+$B$9)))/2,0),1)),"")</f>
        <v>1</v>
      </c>
    </row>
    <row r="23" spans="1:28" ht="18.75" customHeight="1" x14ac:dyDescent="0.3">
      <c r="A23" s="2">
        <v>10</v>
      </c>
      <c r="B23" s="3" t="str">
        <f>IF(B$12&gt;$A23,IF(B$12=1,5,MAX($B$5-ROUNDDOWN((SQRT($B$6*(B$12+$B$8)+$B$7*($A23+$B$9)))/2,0),1)),"")</f>
        <v/>
      </c>
      <c r="C23" s="3" t="str">
        <f>IF(C$12&gt;$A23,IF(C$12=1,5,MAX($B$5-ROUNDDOWN((SQRT($B$6*(C$12+$B$8)+$B$7*($A23+$B$9)))/2,0),1)),"")</f>
        <v/>
      </c>
      <c r="D23" s="3" t="str">
        <f>IF(D$12&gt;$A23,IF(D$12=1,5,MAX($B$5-ROUNDDOWN((SQRT($B$6*(D$12+$B$8)+$B$7*($A23+$B$9)))/2,0),1)),"")</f>
        <v/>
      </c>
      <c r="E23" s="3" t="str">
        <f>IF(E$12&gt;$A23,IF(E$12=1,5,MAX($B$5-ROUNDDOWN((SQRT($B$6*(E$12+$B$8)+$B$7*($A23+$B$9)))/2,0),1)),"")</f>
        <v/>
      </c>
      <c r="F23" s="3" t="str">
        <f>IF(F$12&gt;$A23,IF(F$12=1,5,MAX($B$5-ROUNDDOWN((SQRT($B$6*(F$12+$B$8)+$B$7*($A23+$B$9)))/2,0),1)),"")</f>
        <v/>
      </c>
      <c r="G23" s="3" t="str">
        <f>IF(G$12&gt;$A23,IF(G$12=1,5,MAX($B$5-ROUNDDOWN((SQRT($B$6*(G$12+$B$8)+$B$7*($A23+$B$9)))/2,0),1)),"")</f>
        <v/>
      </c>
      <c r="H23" s="3" t="str">
        <f>IF(H$12&gt;$A23,IF(H$12=1,5,MAX($B$5-ROUNDDOWN((SQRT($B$6*(H$12+$B$8)+$B$7*($A23+$B$9)))/2,0),1)),"")</f>
        <v/>
      </c>
      <c r="I23" s="3" t="str">
        <f>IF(I$12&gt;$A23,IF(I$12=1,5,MAX($B$5-ROUNDDOWN((SQRT($B$6*(I$12+$B$8)+$B$7*($A23+$B$9)))/2,0),1)),"")</f>
        <v/>
      </c>
      <c r="J23" s="3" t="str">
        <f>IF(J$12&gt;$A23,IF(J$12=1,5,MAX($B$5-ROUNDDOWN((SQRT($B$6*(J$12+$B$8)+$B$7*($A23+$B$9)))/2,0),1)),"")</f>
        <v/>
      </c>
      <c r="K23" s="3" t="str">
        <f>IF(K$12&gt;$A23,IF(K$12=1,5,MAX($B$5-ROUNDDOWN((SQRT($B$6*(K$12+$B$8)+$B$7*($A23+$B$9)))/2,0),1)),"")</f>
        <v/>
      </c>
      <c r="L23" s="2">
        <f>IF(L$12&gt;$A23,IF(L$12=1,5,MAX($B$5-ROUNDDOWN((SQRT($B$6*(L$12+$B$8)+$B$7*($A23+$B$9)))/2,0),1)),"")</f>
        <v>1</v>
      </c>
      <c r="M23" s="2">
        <f>IF(M$12&gt;$A23,IF(M$12=1,5,MAX($B$5-ROUNDDOWN((SQRT($B$6*(M$12+$B$8)+$B$7*($A23+$B$9)))/2,0),1)),"")</f>
        <v>1</v>
      </c>
      <c r="N23" s="2">
        <f>IF(N$12&gt;$A23,IF(N$12=1,5,MAX($B$5-ROUNDDOWN((SQRT($B$6*(N$12+$B$8)+$B$7*($A23+$B$9)))/2,0),1)),"")</f>
        <v>1</v>
      </c>
      <c r="O23" s="2">
        <f>IF(O$12&gt;$A23,IF(O$12=1,5,MAX($B$5-ROUNDDOWN((SQRT($B$6*(O$12+$B$8)+$B$7*($A23+$B$9)))/2,0),1)),"")</f>
        <v>1</v>
      </c>
      <c r="P23" s="2">
        <f>IF(P$12&gt;$A23,IF(P$12=1,5,MAX($B$5-ROUNDDOWN((SQRT($B$6*(P$12+$B$8)+$B$7*($A23+$B$9)))/2,0),1)),"")</f>
        <v>1</v>
      </c>
      <c r="Q23" s="2">
        <f>IF(Q$12&gt;$A23,IF(Q$12=1,5,MAX($B$5-ROUNDDOWN((SQRT($B$6*(Q$12+$B$8)+$B$7*($A23+$B$9)))/2,0),1)),"")</f>
        <v>1</v>
      </c>
      <c r="R23" s="2">
        <f>IF(R$12&gt;$A23,IF(R$12=1,5,MAX($B$5-ROUNDDOWN((SQRT($B$6*(R$12+$B$8)+$B$7*($A23+$B$9)))/2,0),1)),"")</f>
        <v>1</v>
      </c>
      <c r="S23" s="2">
        <f>IF(S$12&gt;$A23,IF(S$12=1,5,MAX($B$5-ROUNDDOWN((SQRT($B$6*(S$12+$B$8)+$B$7*($A23+$B$9)))/2,0),1)),"")</f>
        <v>1</v>
      </c>
      <c r="T23" s="2">
        <f>IF(T$12&gt;$A23,IF(T$12=1,5,MAX($B$5-ROUNDDOWN((SQRT($B$6*(T$12+$B$8)+$B$7*($A23+$B$9)))/2,0),1)),"")</f>
        <v>1</v>
      </c>
      <c r="U23" s="2">
        <f>IF(U$12&gt;$A23,IF(U$12=1,5,MAX($B$5-ROUNDDOWN((SQRT($B$6*(U$12+$B$8)+$B$7*($A23+$B$9)))/2,0),1)),"")</f>
        <v>1</v>
      </c>
      <c r="V23" s="2">
        <f>IF(V$12&gt;$A23,IF(V$12=1,5,MAX($B$5-ROUNDDOWN((SQRT($B$6*(V$12+$B$8)+$B$7*($A23+$B$9)))/2,0),1)),"")</f>
        <v>1</v>
      </c>
      <c r="W23" s="2">
        <f>IF(W$12&gt;$A23,IF(W$12=1,5,MAX($B$5-ROUNDDOWN((SQRT($B$6*(W$12+$B$8)+$B$7*($A23+$B$9)))/2,0),1)),"")</f>
        <v>1</v>
      </c>
      <c r="X23" s="2">
        <f>IF(X$12&gt;$A23,IF(X$12=1,5,MAX($B$5-ROUNDDOWN((SQRT($B$6*(X$12+$B$8)+$B$7*($A23+$B$9)))/2,0),1)),"")</f>
        <v>1</v>
      </c>
      <c r="Y23" s="2">
        <f>IF(Y$12&gt;$A23,IF(Y$12=1,5,MAX($B$5-ROUNDDOWN((SQRT($B$6*(Y$12+$B$8)+$B$7*($A23+$B$9)))/2,0),1)),"")</f>
        <v>1</v>
      </c>
      <c r="Z23" s="2">
        <f>IF(Z$12&gt;$A23,IF(Z$12=1,5,MAX($B$5-ROUNDDOWN((SQRT($B$6*(Z$12+$B$8)+$B$7*($A23+$B$9)))/2,0),1)),"")</f>
        <v>1</v>
      </c>
      <c r="AA23" s="2">
        <f>IF(AA$12&gt;$A23,IF(AA$12=1,5,MAX($B$5-ROUNDDOWN((SQRT($B$6*(AA$12+$B$8)+$B$7*($A23+$B$9)))/2,0),1)),"")</f>
        <v>1</v>
      </c>
      <c r="AB23" s="2">
        <f>IF(AB$12&gt;$A23,IF(AB$12=1,5,MAX($B$5-ROUNDDOWN((SQRT($B$6*(AB$12+$B$8)+$B$7*($A23+$B$9)))/2,0),1)),"")</f>
        <v>1</v>
      </c>
    </row>
    <row r="24" spans="1:28" ht="18.75" customHeight="1" x14ac:dyDescent="0.3">
      <c r="A24" s="2">
        <v>11</v>
      </c>
      <c r="B24" s="3" t="str">
        <f>IF(B$12&gt;$A24,IF(B$12=1,5,MAX($B$5-ROUNDDOWN((SQRT($B$6*(B$12+$B$8)+$B$7*($A24+$B$9)))/2,0),1)),"")</f>
        <v/>
      </c>
      <c r="C24" s="3" t="str">
        <f>IF(C$12&gt;$A24,IF(C$12=1,5,MAX($B$5-ROUNDDOWN((SQRT($B$6*(C$12+$B$8)+$B$7*($A24+$B$9)))/2,0),1)),"")</f>
        <v/>
      </c>
      <c r="D24" s="3" t="str">
        <f>IF(D$12&gt;$A24,IF(D$12=1,5,MAX($B$5-ROUNDDOWN((SQRT($B$6*(D$12+$B$8)+$B$7*($A24+$B$9)))/2,0),1)),"")</f>
        <v/>
      </c>
      <c r="E24" s="3" t="str">
        <f>IF(E$12&gt;$A24,IF(E$12=1,5,MAX($B$5-ROUNDDOWN((SQRT($B$6*(E$12+$B$8)+$B$7*($A24+$B$9)))/2,0),1)),"")</f>
        <v/>
      </c>
      <c r="F24" s="3" t="str">
        <f>IF(F$12&gt;$A24,IF(F$12=1,5,MAX($B$5-ROUNDDOWN((SQRT($B$6*(F$12+$B$8)+$B$7*($A24+$B$9)))/2,0),1)),"")</f>
        <v/>
      </c>
      <c r="G24" s="3" t="str">
        <f>IF(G$12&gt;$A24,IF(G$12=1,5,MAX($B$5-ROUNDDOWN((SQRT($B$6*(G$12+$B$8)+$B$7*($A24+$B$9)))/2,0),1)),"")</f>
        <v/>
      </c>
      <c r="H24" s="3" t="str">
        <f>IF(H$12&gt;$A24,IF(H$12=1,5,MAX($B$5-ROUNDDOWN((SQRT($B$6*(H$12+$B$8)+$B$7*($A24+$B$9)))/2,0),1)),"")</f>
        <v/>
      </c>
      <c r="I24" s="3" t="str">
        <f>IF(I$12&gt;$A24,IF(I$12=1,5,MAX($B$5-ROUNDDOWN((SQRT($B$6*(I$12+$B$8)+$B$7*($A24+$B$9)))/2,0),1)),"")</f>
        <v/>
      </c>
      <c r="J24" s="3" t="str">
        <f>IF(J$12&gt;$A24,IF(J$12=1,5,MAX($B$5-ROUNDDOWN((SQRT($B$6*(J$12+$B$8)+$B$7*($A24+$B$9)))/2,0),1)),"")</f>
        <v/>
      </c>
      <c r="K24" s="3" t="str">
        <f>IF(K$12&gt;$A24,IF(K$12=1,5,MAX($B$5-ROUNDDOWN((SQRT($B$6*(K$12+$B$8)+$B$7*($A24+$B$9)))/2,0),1)),"")</f>
        <v/>
      </c>
      <c r="L24" s="3" t="str">
        <f>IF(L$12&gt;$A24,IF(L$12=1,5,MAX($B$5-ROUNDDOWN((SQRT($B$6*(L$12+$B$8)+$B$7*($A24+$B$9)))/2,0),1)),"")</f>
        <v/>
      </c>
      <c r="M24" s="2">
        <f>IF(M$12&gt;$A24,IF(M$12=1,5,MAX($B$5-ROUNDDOWN((SQRT($B$6*(M$12+$B$8)+$B$7*($A24+$B$9)))/2,0),1)),"")</f>
        <v>1</v>
      </c>
      <c r="N24" s="2">
        <f>IF(N$12&gt;$A24,IF(N$12=1,5,MAX($B$5-ROUNDDOWN((SQRT($B$6*(N$12+$B$8)+$B$7*($A24+$B$9)))/2,0),1)),"")</f>
        <v>1</v>
      </c>
      <c r="O24" s="2">
        <f>IF(O$12&gt;$A24,IF(O$12=1,5,MAX($B$5-ROUNDDOWN((SQRT($B$6*(O$12+$B$8)+$B$7*($A24+$B$9)))/2,0),1)),"")</f>
        <v>1</v>
      </c>
      <c r="P24" s="2">
        <f>IF(P$12&gt;$A24,IF(P$12=1,5,MAX($B$5-ROUNDDOWN((SQRT($B$6*(P$12+$B$8)+$B$7*($A24+$B$9)))/2,0),1)),"")</f>
        <v>1</v>
      </c>
      <c r="Q24" s="2">
        <f>IF(Q$12&gt;$A24,IF(Q$12=1,5,MAX($B$5-ROUNDDOWN((SQRT($B$6*(Q$12+$B$8)+$B$7*($A24+$B$9)))/2,0),1)),"")</f>
        <v>1</v>
      </c>
      <c r="R24" s="2">
        <f>IF(R$12&gt;$A24,IF(R$12=1,5,MAX($B$5-ROUNDDOWN((SQRT($B$6*(R$12+$B$8)+$B$7*($A24+$B$9)))/2,0),1)),"")</f>
        <v>1</v>
      </c>
      <c r="S24" s="2">
        <f>IF(S$12&gt;$A24,IF(S$12=1,5,MAX($B$5-ROUNDDOWN((SQRT($B$6*(S$12+$B$8)+$B$7*($A24+$B$9)))/2,0),1)),"")</f>
        <v>1</v>
      </c>
      <c r="T24" s="2">
        <f>IF(T$12&gt;$A24,IF(T$12=1,5,MAX($B$5-ROUNDDOWN((SQRT($B$6*(T$12+$B$8)+$B$7*($A24+$B$9)))/2,0),1)),"")</f>
        <v>1</v>
      </c>
      <c r="U24" s="2">
        <f>IF(U$12&gt;$A24,IF(U$12=1,5,MAX($B$5-ROUNDDOWN((SQRT($B$6*(U$12+$B$8)+$B$7*($A24+$B$9)))/2,0),1)),"")</f>
        <v>1</v>
      </c>
      <c r="V24" s="2">
        <f>IF(V$12&gt;$A24,IF(V$12=1,5,MAX($B$5-ROUNDDOWN((SQRT($B$6*(V$12+$B$8)+$B$7*($A24+$B$9)))/2,0),1)),"")</f>
        <v>1</v>
      </c>
      <c r="W24" s="2">
        <f>IF(W$12&gt;$A24,IF(W$12=1,5,MAX($B$5-ROUNDDOWN((SQRT($B$6*(W$12+$B$8)+$B$7*($A24+$B$9)))/2,0),1)),"")</f>
        <v>1</v>
      </c>
      <c r="X24" s="2">
        <f>IF(X$12&gt;$A24,IF(X$12=1,5,MAX($B$5-ROUNDDOWN((SQRT($B$6*(X$12+$B$8)+$B$7*($A24+$B$9)))/2,0),1)),"")</f>
        <v>1</v>
      </c>
      <c r="Y24" s="2">
        <f>IF(Y$12&gt;$A24,IF(Y$12=1,5,MAX($B$5-ROUNDDOWN((SQRT($B$6*(Y$12+$B$8)+$B$7*($A24+$B$9)))/2,0),1)),"")</f>
        <v>1</v>
      </c>
      <c r="Z24" s="2">
        <f>IF(Z$12&gt;$A24,IF(Z$12=1,5,MAX($B$5-ROUNDDOWN((SQRT($B$6*(Z$12+$B$8)+$B$7*($A24+$B$9)))/2,0),1)),"")</f>
        <v>1</v>
      </c>
      <c r="AA24" s="2">
        <f>IF(AA$12&gt;$A24,IF(AA$12=1,5,MAX($B$5-ROUNDDOWN((SQRT($B$6*(AA$12+$B$8)+$B$7*($A24+$B$9)))/2,0),1)),"")</f>
        <v>1</v>
      </c>
      <c r="AB24" s="2">
        <f>IF(AB$12&gt;$A24,IF(AB$12=1,5,MAX($B$5-ROUNDDOWN((SQRT($B$6*(AB$12+$B$8)+$B$7*($A24+$B$9)))/2,0),1)),"")</f>
        <v>1</v>
      </c>
    </row>
    <row r="25" spans="1:28" ht="18.75" customHeight="1" x14ac:dyDescent="0.3">
      <c r="A25" s="2">
        <v>12</v>
      </c>
      <c r="B25" s="3" t="str">
        <f>IF(B$12&gt;$A25,IF(B$12=1,5,MAX($B$5-ROUNDDOWN((SQRT($B$6*(B$12+$B$8)+$B$7*($A25+$B$9)))/2,0),1)),"")</f>
        <v/>
      </c>
      <c r="C25" s="3" t="str">
        <f>IF(C$12&gt;$A25,IF(C$12=1,5,MAX($B$5-ROUNDDOWN((SQRT($B$6*(C$12+$B$8)+$B$7*($A25+$B$9)))/2,0),1)),"")</f>
        <v/>
      </c>
      <c r="D25" s="3" t="str">
        <f>IF(D$12&gt;$A25,IF(D$12=1,5,MAX($B$5-ROUNDDOWN((SQRT($B$6*(D$12+$B$8)+$B$7*($A25+$B$9)))/2,0),1)),"")</f>
        <v/>
      </c>
      <c r="E25" s="3" t="str">
        <f>IF(E$12&gt;$A25,IF(E$12=1,5,MAX($B$5-ROUNDDOWN((SQRT($B$6*(E$12+$B$8)+$B$7*($A25+$B$9)))/2,0),1)),"")</f>
        <v/>
      </c>
      <c r="F25" s="3" t="str">
        <f>IF(F$12&gt;$A25,IF(F$12=1,5,MAX($B$5-ROUNDDOWN((SQRT($B$6*(F$12+$B$8)+$B$7*($A25+$B$9)))/2,0),1)),"")</f>
        <v/>
      </c>
      <c r="G25" s="3" t="str">
        <f>IF(G$12&gt;$A25,IF(G$12=1,5,MAX($B$5-ROUNDDOWN((SQRT($B$6*(G$12+$B$8)+$B$7*($A25+$B$9)))/2,0),1)),"")</f>
        <v/>
      </c>
      <c r="H25" s="3" t="str">
        <f>IF(H$12&gt;$A25,IF(H$12=1,5,MAX($B$5-ROUNDDOWN((SQRT($B$6*(H$12+$B$8)+$B$7*($A25+$B$9)))/2,0),1)),"")</f>
        <v/>
      </c>
      <c r="I25" s="3" t="str">
        <f>IF(I$12&gt;$A25,IF(I$12=1,5,MAX($B$5-ROUNDDOWN((SQRT($B$6*(I$12+$B$8)+$B$7*($A25+$B$9)))/2,0),1)),"")</f>
        <v/>
      </c>
      <c r="J25" s="3" t="str">
        <f>IF(J$12&gt;$A25,IF(J$12=1,5,MAX($B$5-ROUNDDOWN((SQRT($B$6*(J$12+$B$8)+$B$7*($A25+$B$9)))/2,0),1)),"")</f>
        <v/>
      </c>
      <c r="K25" s="3" t="str">
        <f>IF(K$12&gt;$A25,IF(K$12=1,5,MAX($B$5-ROUNDDOWN((SQRT($B$6*(K$12+$B$8)+$B$7*($A25+$B$9)))/2,0),1)),"")</f>
        <v/>
      </c>
      <c r="L25" s="3" t="str">
        <f>IF(L$12&gt;$A25,IF(L$12=1,5,MAX($B$5-ROUNDDOWN((SQRT($B$6*(L$12+$B$8)+$B$7*($A25+$B$9)))/2,0),1)),"")</f>
        <v/>
      </c>
      <c r="M25" s="3" t="str">
        <f>IF(M$12&gt;$A25,IF(M$12=1,5,MAX($B$5-ROUNDDOWN((SQRT($B$6*(M$12+$B$8)+$B$7*($A25+$B$9)))/2,0),1)),"")</f>
        <v/>
      </c>
      <c r="N25" s="2">
        <f>IF(N$12&gt;$A25,IF(N$12=1,5,MAX($B$5-ROUNDDOWN((SQRT($B$6*(N$12+$B$8)+$B$7*($A25+$B$9)))/2,0),1)),"")</f>
        <v>1</v>
      </c>
      <c r="O25" s="2">
        <f>IF(O$12&gt;$A25,IF(O$12=1,5,MAX($B$5-ROUNDDOWN((SQRT($B$6*(O$12+$B$8)+$B$7*($A25+$B$9)))/2,0),1)),"")</f>
        <v>1</v>
      </c>
      <c r="P25" s="2">
        <f>IF(P$12&gt;$A25,IF(P$12=1,5,MAX($B$5-ROUNDDOWN((SQRT($B$6*(P$12+$B$8)+$B$7*($A25+$B$9)))/2,0),1)),"")</f>
        <v>1</v>
      </c>
      <c r="Q25" s="2">
        <f>IF(Q$12&gt;$A25,IF(Q$12=1,5,MAX($B$5-ROUNDDOWN((SQRT($B$6*(Q$12+$B$8)+$B$7*($A25+$B$9)))/2,0),1)),"")</f>
        <v>1</v>
      </c>
      <c r="R25" s="2">
        <f>IF(R$12&gt;$A25,IF(R$12=1,5,MAX($B$5-ROUNDDOWN((SQRT($B$6*(R$12+$B$8)+$B$7*($A25+$B$9)))/2,0),1)),"")</f>
        <v>1</v>
      </c>
      <c r="S25" s="2">
        <f>IF(S$12&gt;$A25,IF(S$12=1,5,MAX($B$5-ROUNDDOWN((SQRT($B$6*(S$12+$B$8)+$B$7*($A25+$B$9)))/2,0),1)),"")</f>
        <v>1</v>
      </c>
      <c r="T25" s="2">
        <f>IF(T$12&gt;$A25,IF(T$12=1,5,MAX($B$5-ROUNDDOWN((SQRT($B$6*(T$12+$B$8)+$B$7*($A25+$B$9)))/2,0),1)),"")</f>
        <v>1</v>
      </c>
      <c r="U25" s="2">
        <f>IF(U$12&gt;$A25,IF(U$12=1,5,MAX($B$5-ROUNDDOWN((SQRT($B$6*(U$12+$B$8)+$B$7*($A25+$B$9)))/2,0),1)),"")</f>
        <v>1</v>
      </c>
      <c r="V25" s="2">
        <f>IF(V$12&gt;$A25,IF(V$12=1,5,MAX($B$5-ROUNDDOWN((SQRT($B$6*(V$12+$B$8)+$B$7*($A25+$B$9)))/2,0),1)),"")</f>
        <v>1</v>
      </c>
      <c r="W25" s="2">
        <f>IF(W$12&gt;$A25,IF(W$12=1,5,MAX($B$5-ROUNDDOWN((SQRT($B$6*(W$12+$B$8)+$B$7*($A25+$B$9)))/2,0),1)),"")</f>
        <v>1</v>
      </c>
      <c r="X25" s="2">
        <f>IF(X$12&gt;$A25,IF(X$12=1,5,MAX($B$5-ROUNDDOWN((SQRT($B$6*(X$12+$B$8)+$B$7*($A25+$B$9)))/2,0),1)),"")</f>
        <v>1</v>
      </c>
      <c r="Y25" s="2">
        <f>IF(Y$12&gt;$A25,IF(Y$12=1,5,MAX($B$5-ROUNDDOWN((SQRT($B$6*(Y$12+$B$8)+$B$7*($A25+$B$9)))/2,0),1)),"")</f>
        <v>1</v>
      </c>
      <c r="Z25" s="2">
        <f>IF(Z$12&gt;$A25,IF(Z$12=1,5,MAX($B$5-ROUNDDOWN((SQRT($B$6*(Z$12+$B$8)+$B$7*($A25+$B$9)))/2,0),1)),"")</f>
        <v>1</v>
      </c>
      <c r="AA25" s="2">
        <f>IF(AA$12&gt;$A25,IF(AA$12=1,5,MAX($B$5-ROUNDDOWN((SQRT($B$6*(AA$12+$B$8)+$B$7*($A25+$B$9)))/2,0),1)),"")</f>
        <v>1</v>
      </c>
      <c r="AB25" s="2">
        <f>IF(AB$12&gt;$A25,IF(AB$12=1,5,MAX($B$5-ROUNDDOWN((SQRT($B$6*(AB$12+$B$8)+$B$7*($A25+$B$9)))/2,0),1)),"")</f>
        <v>1</v>
      </c>
    </row>
    <row r="26" spans="1:28" ht="18.75" customHeight="1" x14ac:dyDescent="0.3">
      <c r="A26" s="2">
        <v>13</v>
      </c>
      <c r="B26" s="3" t="str">
        <f>IF(B$12&gt;$A26,IF(B$12=1,5,MAX($B$5-ROUNDDOWN((SQRT($B$6*(B$12+$B$8)+$B$7*($A26+$B$9)))/2,0),1)),"")</f>
        <v/>
      </c>
      <c r="C26" s="3" t="str">
        <f>IF(C$12&gt;$A26,IF(C$12=1,5,MAX($B$5-ROUNDDOWN((SQRT($B$6*(C$12+$B$8)+$B$7*($A26+$B$9)))/2,0),1)),"")</f>
        <v/>
      </c>
      <c r="D26" s="3" t="str">
        <f>IF(D$12&gt;$A26,IF(D$12=1,5,MAX($B$5-ROUNDDOWN((SQRT($B$6*(D$12+$B$8)+$B$7*($A26+$B$9)))/2,0),1)),"")</f>
        <v/>
      </c>
      <c r="E26" s="3" t="str">
        <f>IF(E$12&gt;$A26,IF(E$12=1,5,MAX($B$5-ROUNDDOWN((SQRT($B$6*(E$12+$B$8)+$B$7*($A26+$B$9)))/2,0),1)),"")</f>
        <v/>
      </c>
      <c r="F26" s="3" t="str">
        <f>IF(F$12&gt;$A26,IF(F$12=1,5,MAX($B$5-ROUNDDOWN((SQRT($B$6*(F$12+$B$8)+$B$7*($A26+$B$9)))/2,0),1)),"")</f>
        <v/>
      </c>
      <c r="G26" s="3" t="str">
        <f>IF(G$12&gt;$A26,IF(G$12=1,5,MAX($B$5-ROUNDDOWN((SQRT($B$6*(G$12+$B$8)+$B$7*($A26+$B$9)))/2,0),1)),"")</f>
        <v/>
      </c>
      <c r="H26" s="3" t="str">
        <f>IF(H$12&gt;$A26,IF(H$12=1,5,MAX($B$5-ROUNDDOWN((SQRT($B$6*(H$12+$B$8)+$B$7*($A26+$B$9)))/2,0),1)),"")</f>
        <v/>
      </c>
      <c r="I26" s="3" t="str">
        <f>IF(I$12&gt;$A26,IF(I$12=1,5,MAX($B$5-ROUNDDOWN((SQRT($B$6*(I$12+$B$8)+$B$7*($A26+$B$9)))/2,0),1)),"")</f>
        <v/>
      </c>
      <c r="J26" s="3" t="str">
        <f>IF(J$12&gt;$A26,IF(J$12=1,5,MAX($B$5-ROUNDDOWN((SQRT($B$6*(J$12+$B$8)+$B$7*($A26+$B$9)))/2,0),1)),"")</f>
        <v/>
      </c>
      <c r="K26" s="3" t="str">
        <f>IF(K$12&gt;$A26,IF(K$12=1,5,MAX($B$5-ROUNDDOWN((SQRT($B$6*(K$12+$B$8)+$B$7*($A26+$B$9)))/2,0),1)),"")</f>
        <v/>
      </c>
      <c r="L26" s="3" t="str">
        <f>IF(L$12&gt;$A26,IF(L$12=1,5,MAX($B$5-ROUNDDOWN((SQRT($B$6*(L$12+$B$8)+$B$7*($A26+$B$9)))/2,0),1)),"")</f>
        <v/>
      </c>
      <c r="M26" s="3" t="str">
        <f>IF(M$12&gt;$A26,IF(M$12=1,5,MAX($B$5-ROUNDDOWN((SQRT($B$6*(M$12+$B$8)+$B$7*($A26+$B$9)))/2,0),1)),"")</f>
        <v/>
      </c>
      <c r="N26" s="3" t="str">
        <f>IF(N$12&gt;$A26,IF(N$12=1,5,MAX($B$5-ROUNDDOWN((SQRT($B$6*(N$12+$B$8)+$B$7*($A26+$B$9)))/2,0),1)),"")</f>
        <v/>
      </c>
      <c r="O26" s="2">
        <f>IF(O$12&gt;$A26,IF(O$12=1,5,MAX($B$5-ROUNDDOWN((SQRT($B$6*(O$12+$B$8)+$B$7*($A26+$B$9)))/2,0),1)),"")</f>
        <v>1</v>
      </c>
      <c r="P26" s="2">
        <f>IF(P$12&gt;$A26,IF(P$12=1,5,MAX($B$5-ROUNDDOWN((SQRT($B$6*(P$12+$B$8)+$B$7*($A26+$B$9)))/2,0),1)),"")</f>
        <v>1</v>
      </c>
      <c r="Q26" s="2">
        <f>IF(Q$12&gt;$A26,IF(Q$12=1,5,MAX($B$5-ROUNDDOWN((SQRT($B$6*(Q$12+$B$8)+$B$7*($A26+$B$9)))/2,0),1)),"")</f>
        <v>1</v>
      </c>
      <c r="R26" s="2">
        <f>IF(R$12&gt;$A26,IF(R$12=1,5,MAX($B$5-ROUNDDOWN((SQRT($B$6*(R$12+$B$8)+$B$7*($A26+$B$9)))/2,0),1)),"")</f>
        <v>1</v>
      </c>
      <c r="S26" s="2">
        <f>IF(S$12&gt;$A26,IF(S$12=1,5,MAX($B$5-ROUNDDOWN((SQRT($B$6*(S$12+$B$8)+$B$7*($A26+$B$9)))/2,0),1)),"")</f>
        <v>1</v>
      </c>
      <c r="T26" s="2">
        <f>IF(T$12&gt;$A26,IF(T$12=1,5,MAX($B$5-ROUNDDOWN((SQRT($B$6*(T$12+$B$8)+$B$7*($A26+$B$9)))/2,0),1)),"")</f>
        <v>1</v>
      </c>
      <c r="U26" s="2">
        <f>IF(U$12&gt;$A26,IF(U$12=1,5,MAX($B$5-ROUNDDOWN((SQRT($B$6*(U$12+$B$8)+$B$7*($A26+$B$9)))/2,0),1)),"")</f>
        <v>1</v>
      </c>
      <c r="V26" s="2">
        <f>IF(V$12&gt;$A26,IF(V$12=1,5,MAX($B$5-ROUNDDOWN((SQRT($B$6*(V$12+$B$8)+$B$7*($A26+$B$9)))/2,0),1)),"")</f>
        <v>1</v>
      </c>
      <c r="W26" s="2">
        <f>IF(W$12&gt;$A26,IF(W$12=1,5,MAX($B$5-ROUNDDOWN((SQRT($B$6*(W$12+$B$8)+$B$7*($A26+$B$9)))/2,0),1)),"")</f>
        <v>1</v>
      </c>
      <c r="X26" s="2">
        <f>IF(X$12&gt;$A26,IF(X$12=1,5,MAX($B$5-ROUNDDOWN((SQRT($B$6*(X$12+$B$8)+$B$7*($A26+$B$9)))/2,0),1)),"")</f>
        <v>1</v>
      </c>
      <c r="Y26" s="2">
        <f>IF(Y$12&gt;$A26,IF(Y$12=1,5,MAX($B$5-ROUNDDOWN((SQRT($B$6*(Y$12+$B$8)+$B$7*($A26+$B$9)))/2,0),1)),"")</f>
        <v>1</v>
      </c>
      <c r="Z26" s="2">
        <f>IF(Z$12&gt;$A26,IF(Z$12=1,5,MAX($B$5-ROUNDDOWN((SQRT($B$6*(Z$12+$B$8)+$B$7*($A26+$B$9)))/2,0),1)),"")</f>
        <v>1</v>
      </c>
      <c r="AA26" s="2">
        <f>IF(AA$12&gt;$A26,IF(AA$12=1,5,MAX($B$5-ROUNDDOWN((SQRT($B$6*(AA$12+$B$8)+$B$7*($A26+$B$9)))/2,0),1)),"")</f>
        <v>1</v>
      </c>
      <c r="AB26" s="2">
        <f>IF(AB$12&gt;$A26,IF(AB$12=1,5,MAX($B$5-ROUNDDOWN((SQRT($B$6*(AB$12+$B$8)+$B$7*($A26+$B$9)))/2,0),1)),"")</f>
        <v>1</v>
      </c>
    </row>
    <row r="27" spans="1:28" ht="18.75" customHeight="1" x14ac:dyDescent="0.3">
      <c r="A27" s="2">
        <v>14</v>
      </c>
      <c r="B27" s="3" t="str">
        <f>IF(B$12&gt;$A27,IF(B$12=1,5,MAX($B$5-ROUNDDOWN((SQRT($B$6*(B$12+$B$8)+$B$7*($A27+$B$9)))/2,0),1)),"")</f>
        <v/>
      </c>
      <c r="C27" s="3" t="str">
        <f>IF(C$12&gt;$A27,IF(C$12=1,5,MAX($B$5-ROUNDDOWN((SQRT($B$6*(C$12+$B$8)+$B$7*($A27+$B$9)))/2,0),1)),"")</f>
        <v/>
      </c>
      <c r="D27" s="3" t="str">
        <f>IF(D$12&gt;$A27,IF(D$12=1,5,MAX($B$5-ROUNDDOWN((SQRT($B$6*(D$12+$B$8)+$B$7*($A27+$B$9)))/2,0),1)),"")</f>
        <v/>
      </c>
      <c r="E27" s="3" t="str">
        <f>IF(E$12&gt;$A27,IF(E$12=1,5,MAX($B$5-ROUNDDOWN((SQRT($B$6*(E$12+$B$8)+$B$7*($A27+$B$9)))/2,0),1)),"")</f>
        <v/>
      </c>
      <c r="F27" s="3" t="str">
        <f>IF(F$12&gt;$A27,IF(F$12=1,5,MAX($B$5-ROUNDDOWN((SQRT($B$6*(F$12+$B$8)+$B$7*($A27+$B$9)))/2,0),1)),"")</f>
        <v/>
      </c>
      <c r="G27" s="3" t="str">
        <f>IF(G$12&gt;$A27,IF(G$12=1,5,MAX($B$5-ROUNDDOWN((SQRT($B$6*(G$12+$B$8)+$B$7*($A27+$B$9)))/2,0),1)),"")</f>
        <v/>
      </c>
      <c r="H27" s="3" t="str">
        <f>IF(H$12&gt;$A27,IF(H$12=1,5,MAX($B$5-ROUNDDOWN((SQRT($B$6*(H$12+$B$8)+$B$7*($A27+$B$9)))/2,0),1)),"")</f>
        <v/>
      </c>
      <c r="I27" s="3" t="str">
        <f>IF(I$12&gt;$A27,IF(I$12=1,5,MAX($B$5-ROUNDDOWN((SQRT($B$6*(I$12+$B$8)+$B$7*($A27+$B$9)))/2,0),1)),"")</f>
        <v/>
      </c>
      <c r="J27" s="3" t="str">
        <f>IF(J$12&gt;$A27,IF(J$12=1,5,MAX($B$5-ROUNDDOWN((SQRT($B$6*(J$12+$B$8)+$B$7*($A27+$B$9)))/2,0),1)),"")</f>
        <v/>
      </c>
      <c r="K27" s="3" t="str">
        <f>IF(K$12&gt;$A27,IF(K$12=1,5,MAX($B$5-ROUNDDOWN((SQRT($B$6*(K$12+$B$8)+$B$7*($A27+$B$9)))/2,0),1)),"")</f>
        <v/>
      </c>
      <c r="L27" s="3" t="str">
        <f>IF(L$12&gt;$A27,IF(L$12=1,5,MAX($B$5-ROUNDDOWN((SQRT($B$6*(L$12+$B$8)+$B$7*($A27+$B$9)))/2,0),1)),"")</f>
        <v/>
      </c>
      <c r="M27" s="3" t="str">
        <f>IF(M$12&gt;$A27,IF(M$12=1,5,MAX($B$5-ROUNDDOWN((SQRT($B$6*(M$12+$B$8)+$B$7*($A27+$B$9)))/2,0),1)),"")</f>
        <v/>
      </c>
      <c r="N27" s="3" t="str">
        <f>IF(N$12&gt;$A27,IF(N$12=1,5,MAX($B$5-ROUNDDOWN((SQRT($B$6*(N$12+$B$8)+$B$7*($A27+$B$9)))/2,0),1)),"")</f>
        <v/>
      </c>
      <c r="O27" s="3" t="str">
        <f>IF(O$12&gt;$A27,IF(O$12=1,5,MAX($B$5-ROUNDDOWN((SQRT($B$6*(O$12+$B$8)+$B$7*($A27+$B$9)))/2,0),1)),"")</f>
        <v/>
      </c>
      <c r="P27" s="2">
        <f>IF(P$12&gt;$A27,IF(P$12=1,5,MAX($B$5-ROUNDDOWN((SQRT($B$6*(P$12+$B$8)+$B$7*($A27+$B$9)))/2,0),1)),"")</f>
        <v>1</v>
      </c>
      <c r="Q27" s="2">
        <f>IF(Q$12&gt;$A27,IF(Q$12=1,5,MAX($B$5-ROUNDDOWN((SQRT($B$6*(Q$12+$B$8)+$B$7*($A27+$B$9)))/2,0),1)),"")</f>
        <v>1</v>
      </c>
      <c r="R27" s="2">
        <f>IF(R$12&gt;$A27,IF(R$12=1,5,MAX($B$5-ROUNDDOWN((SQRT($B$6*(R$12+$B$8)+$B$7*($A27+$B$9)))/2,0),1)),"")</f>
        <v>1</v>
      </c>
      <c r="S27" s="2">
        <f>IF(S$12&gt;$A27,IF(S$12=1,5,MAX($B$5-ROUNDDOWN((SQRT($B$6*(S$12+$B$8)+$B$7*($A27+$B$9)))/2,0),1)),"")</f>
        <v>1</v>
      </c>
      <c r="T27" s="2">
        <f>IF(T$12&gt;$A27,IF(T$12=1,5,MAX($B$5-ROUNDDOWN((SQRT($B$6*(T$12+$B$8)+$B$7*($A27+$B$9)))/2,0),1)),"")</f>
        <v>1</v>
      </c>
      <c r="U27" s="2">
        <f>IF(U$12&gt;$A27,IF(U$12=1,5,MAX($B$5-ROUNDDOWN((SQRT($B$6*(U$12+$B$8)+$B$7*($A27+$B$9)))/2,0),1)),"")</f>
        <v>1</v>
      </c>
      <c r="V27" s="2">
        <f>IF(V$12&gt;$A27,IF(V$12=1,5,MAX($B$5-ROUNDDOWN((SQRT($B$6*(V$12+$B$8)+$B$7*($A27+$B$9)))/2,0),1)),"")</f>
        <v>1</v>
      </c>
      <c r="W27" s="2">
        <f>IF(W$12&gt;$A27,IF(W$12=1,5,MAX($B$5-ROUNDDOWN((SQRT($B$6*(W$12+$B$8)+$B$7*($A27+$B$9)))/2,0),1)),"")</f>
        <v>1</v>
      </c>
      <c r="X27" s="2">
        <f>IF(X$12&gt;$A27,IF(X$12=1,5,MAX($B$5-ROUNDDOWN((SQRT($B$6*(X$12+$B$8)+$B$7*($A27+$B$9)))/2,0),1)),"")</f>
        <v>1</v>
      </c>
      <c r="Y27" s="2">
        <f>IF(Y$12&gt;$A27,IF(Y$12=1,5,MAX($B$5-ROUNDDOWN((SQRT($B$6*(Y$12+$B$8)+$B$7*($A27+$B$9)))/2,0),1)),"")</f>
        <v>1</v>
      </c>
      <c r="Z27" s="2">
        <f>IF(Z$12&gt;$A27,IF(Z$12=1,5,MAX($B$5-ROUNDDOWN((SQRT($B$6*(Z$12+$B$8)+$B$7*($A27+$B$9)))/2,0),1)),"")</f>
        <v>1</v>
      </c>
      <c r="AA27" s="2">
        <f>IF(AA$12&gt;$A27,IF(AA$12=1,5,MAX($B$5-ROUNDDOWN((SQRT($B$6*(AA$12+$B$8)+$B$7*($A27+$B$9)))/2,0),1)),"")</f>
        <v>1</v>
      </c>
      <c r="AB27" s="2">
        <f>IF(AB$12&gt;$A27,IF(AB$12=1,5,MAX($B$5-ROUNDDOWN((SQRT($B$6*(AB$12+$B$8)+$B$7*($A27+$B$9)))/2,0),1)),"")</f>
        <v>1</v>
      </c>
    </row>
    <row r="28" spans="1:28" ht="18.75" customHeight="1" x14ac:dyDescent="0.3">
      <c r="A28" s="2">
        <v>15</v>
      </c>
      <c r="B28" s="3" t="str">
        <f>IF(B$12&gt;$A28,IF(B$12=1,5,MAX($B$5-ROUNDDOWN((SQRT($B$6*(B$12+$B$8)+$B$7*($A28+$B$9)))/2,0),1)),"")</f>
        <v/>
      </c>
      <c r="C28" s="3" t="str">
        <f>IF(C$12&gt;$A28,IF(C$12=1,5,MAX($B$5-ROUNDDOWN((SQRT($B$6*(C$12+$B$8)+$B$7*($A28+$B$9)))/2,0),1)),"")</f>
        <v/>
      </c>
      <c r="D28" s="3" t="str">
        <f>IF(D$12&gt;$A28,IF(D$12=1,5,MAX($B$5-ROUNDDOWN((SQRT($B$6*(D$12+$B$8)+$B$7*($A28+$B$9)))/2,0),1)),"")</f>
        <v/>
      </c>
      <c r="E28" s="3" t="str">
        <f>IF(E$12&gt;$A28,IF(E$12=1,5,MAX($B$5-ROUNDDOWN((SQRT($B$6*(E$12+$B$8)+$B$7*($A28+$B$9)))/2,0),1)),"")</f>
        <v/>
      </c>
      <c r="F28" s="3" t="str">
        <f>IF(F$12&gt;$A28,IF(F$12=1,5,MAX($B$5-ROUNDDOWN((SQRT($B$6*(F$12+$B$8)+$B$7*($A28+$B$9)))/2,0),1)),"")</f>
        <v/>
      </c>
      <c r="G28" s="3" t="str">
        <f>IF(G$12&gt;$A28,IF(G$12=1,5,MAX($B$5-ROUNDDOWN((SQRT($B$6*(G$12+$B$8)+$B$7*($A28+$B$9)))/2,0),1)),"")</f>
        <v/>
      </c>
      <c r="H28" s="3" t="str">
        <f>IF(H$12&gt;$A28,IF(H$12=1,5,MAX($B$5-ROUNDDOWN((SQRT($B$6*(H$12+$B$8)+$B$7*($A28+$B$9)))/2,0),1)),"")</f>
        <v/>
      </c>
      <c r="I28" s="3" t="str">
        <f>IF(I$12&gt;$A28,IF(I$12=1,5,MAX($B$5-ROUNDDOWN((SQRT($B$6*(I$12+$B$8)+$B$7*($A28+$B$9)))/2,0),1)),"")</f>
        <v/>
      </c>
      <c r="J28" s="3" t="str">
        <f>IF(J$12&gt;$A28,IF(J$12=1,5,MAX($B$5-ROUNDDOWN((SQRT($B$6*(J$12+$B$8)+$B$7*($A28+$B$9)))/2,0),1)),"")</f>
        <v/>
      </c>
      <c r="K28" s="3" t="str">
        <f>IF(K$12&gt;$A28,IF(K$12=1,5,MAX($B$5-ROUNDDOWN((SQRT($B$6*(K$12+$B$8)+$B$7*($A28+$B$9)))/2,0),1)),"")</f>
        <v/>
      </c>
      <c r="L28" s="3" t="str">
        <f>IF(L$12&gt;$A28,IF(L$12=1,5,MAX($B$5-ROUNDDOWN((SQRT($B$6*(L$12+$B$8)+$B$7*($A28+$B$9)))/2,0),1)),"")</f>
        <v/>
      </c>
      <c r="M28" s="3" t="str">
        <f>IF(M$12&gt;$A28,IF(M$12=1,5,MAX($B$5-ROUNDDOWN((SQRT($B$6*(M$12+$B$8)+$B$7*($A28+$B$9)))/2,0),1)),"")</f>
        <v/>
      </c>
      <c r="N28" s="3" t="str">
        <f>IF(N$12&gt;$A28,IF(N$12=1,5,MAX($B$5-ROUNDDOWN((SQRT($B$6*(N$12+$B$8)+$B$7*($A28+$B$9)))/2,0),1)),"")</f>
        <v/>
      </c>
      <c r="O28" s="3" t="str">
        <f>IF(O$12&gt;$A28,IF(O$12=1,5,MAX($B$5-ROUNDDOWN((SQRT($B$6*(O$12+$B$8)+$B$7*($A28+$B$9)))/2,0),1)),"")</f>
        <v/>
      </c>
      <c r="P28" s="3" t="str">
        <f>IF(P$12&gt;$A28,IF(P$12=1,5,MAX($B$5-ROUNDDOWN((SQRT($B$6*(P$12+$B$8)+$B$7*($A28+$B$9)))/2,0),1)),"")</f>
        <v/>
      </c>
      <c r="Q28" s="2">
        <f>IF(Q$12&gt;$A28,IF(Q$12=1,5,MAX($B$5-ROUNDDOWN((SQRT($B$6*(Q$12+$B$8)+$B$7*($A28+$B$9)))/2,0),1)),"")</f>
        <v>1</v>
      </c>
      <c r="R28" s="2">
        <f>IF(R$12&gt;$A28,IF(R$12=1,5,MAX($B$5-ROUNDDOWN((SQRT($B$6*(R$12+$B$8)+$B$7*($A28+$B$9)))/2,0),1)),"")</f>
        <v>1</v>
      </c>
      <c r="S28" s="2">
        <f>IF(S$12&gt;$A28,IF(S$12=1,5,MAX($B$5-ROUNDDOWN((SQRT($B$6*(S$12+$B$8)+$B$7*($A28+$B$9)))/2,0),1)),"")</f>
        <v>1</v>
      </c>
      <c r="T28" s="2">
        <f>IF(T$12&gt;$A28,IF(T$12=1,5,MAX($B$5-ROUNDDOWN((SQRT($B$6*(T$12+$B$8)+$B$7*($A28+$B$9)))/2,0),1)),"")</f>
        <v>1</v>
      </c>
      <c r="U28" s="2">
        <f>IF(U$12&gt;$A28,IF(U$12=1,5,MAX($B$5-ROUNDDOWN((SQRT($B$6*(U$12+$B$8)+$B$7*($A28+$B$9)))/2,0),1)),"")</f>
        <v>1</v>
      </c>
      <c r="V28" s="2">
        <f>IF(V$12&gt;$A28,IF(V$12=1,5,MAX($B$5-ROUNDDOWN((SQRT($B$6*(V$12+$B$8)+$B$7*($A28+$B$9)))/2,0),1)),"")</f>
        <v>1</v>
      </c>
      <c r="W28" s="2">
        <f>IF(W$12&gt;$A28,IF(W$12=1,5,MAX($B$5-ROUNDDOWN((SQRT($B$6*(W$12+$B$8)+$B$7*($A28+$B$9)))/2,0),1)),"")</f>
        <v>1</v>
      </c>
      <c r="X28" s="2">
        <f>IF(X$12&gt;$A28,IF(X$12=1,5,MAX($B$5-ROUNDDOWN((SQRT($B$6*(X$12+$B$8)+$B$7*($A28+$B$9)))/2,0),1)),"")</f>
        <v>1</v>
      </c>
      <c r="Y28" s="2">
        <f>IF(Y$12&gt;$A28,IF(Y$12=1,5,MAX($B$5-ROUNDDOWN((SQRT($B$6*(Y$12+$B$8)+$B$7*($A28+$B$9)))/2,0),1)),"")</f>
        <v>1</v>
      </c>
      <c r="Z28" s="2">
        <f>IF(Z$12&gt;$A28,IF(Z$12=1,5,MAX($B$5-ROUNDDOWN((SQRT($B$6*(Z$12+$B$8)+$B$7*($A28+$B$9)))/2,0),1)),"")</f>
        <v>1</v>
      </c>
      <c r="AA28" s="2">
        <f>IF(AA$12&gt;$A28,IF(AA$12=1,5,MAX($B$5-ROUNDDOWN((SQRT($B$6*(AA$12+$B$8)+$B$7*($A28+$B$9)))/2,0),1)),"")</f>
        <v>1</v>
      </c>
      <c r="AB28" s="2">
        <f>IF(AB$12&gt;$A28,IF(AB$12=1,5,MAX($B$5-ROUNDDOWN((SQRT($B$6*(AB$12+$B$8)+$B$7*($A28+$B$9)))/2,0),1)),"")</f>
        <v>1</v>
      </c>
    </row>
    <row r="29" spans="1:28" ht="18.75" customHeight="1" x14ac:dyDescent="0.3">
      <c r="A29" s="2">
        <v>16</v>
      </c>
      <c r="B29" s="3" t="str">
        <f>IF(B$12&gt;$A29,IF(B$12=1,5,MAX($B$5-ROUNDDOWN((SQRT($B$6*(B$12+$B$8)+$B$7*($A29+$B$9)))/2,0),1)),"")</f>
        <v/>
      </c>
      <c r="C29" s="3" t="str">
        <f>IF(C$12&gt;$A29,IF(C$12=1,5,MAX($B$5-ROUNDDOWN((SQRT($B$6*(C$12+$B$8)+$B$7*($A29+$B$9)))/2,0),1)),"")</f>
        <v/>
      </c>
      <c r="D29" s="3" t="str">
        <f>IF(D$12&gt;$A29,IF(D$12=1,5,MAX($B$5-ROUNDDOWN((SQRT($B$6*(D$12+$B$8)+$B$7*($A29+$B$9)))/2,0),1)),"")</f>
        <v/>
      </c>
      <c r="E29" s="3" t="str">
        <f>IF(E$12&gt;$A29,IF(E$12=1,5,MAX($B$5-ROUNDDOWN((SQRT($B$6*(E$12+$B$8)+$B$7*($A29+$B$9)))/2,0),1)),"")</f>
        <v/>
      </c>
      <c r="F29" s="3" t="str">
        <f>IF(F$12&gt;$A29,IF(F$12=1,5,MAX($B$5-ROUNDDOWN((SQRT($B$6*(F$12+$B$8)+$B$7*($A29+$B$9)))/2,0),1)),"")</f>
        <v/>
      </c>
      <c r="G29" s="3" t="str">
        <f>IF(G$12&gt;$A29,IF(G$12=1,5,MAX($B$5-ROUNDDOWN((SQRT($B$6*(G$12+$B$8)+$B$7*($A29+$B$9)))/2,0),1)),"")</f>
        <v/>
      </c>
      <c r="H29" s="3" t="str">
        <f>IF(H$12&gt;$A29,IF(H$12=1,5,MAX($B$5-ROUNDDOWN((SQRT($B$6*(H$12+$B$8)+$B$7*($A29+$B$9)))/2,0),1)),"")</f>
        <v/>
      </c>
      <c r="I29" s="3" t="str">
        <f>IF(I$12&gt;$A29,IF(I$12=1,5,MAX($B$5-ROUNDDOWN((SQRT($B$6*(I$12+$B$8)+$B$7*($A29+$B$9)))/2,0),1)),"")</f>
        <v/>
      </c>
      <c r="J29" s="3" t="str">
        <f>IF(J$12&gt;$A29,IF(J$12=1,5,MAX($B$5-ROUNDDOWN((SQRT($B$6*(J$12+$B$8)+$B$7*($A29+$B$9)))/2,0),1)),"")</f>
        <v/>
      </c>
      <c r="K29" s="3" t="str">
        <f>IF(K$12&gt;$A29,IF(K$12=1,5,MAX($B$5-ROUNDDOWN((SQRT($B$6*(K$12+$B$8)+$B$7*($A29+$B$9)))/2,0),1)),"")</f>
        <v/>
      </c>
      <c r="L29" s="3" t="str">
        <f>IF(L$12&gt;$A29,IF(L$12=1,5,MAX($B$5-ROUNDDOWN((SQRT($B$6*(L$12+$B$8)+$B$7*($A29+$B$9)))/2,0),1)),"")</f>
        <v/>
      </c>
      <c r="M29" s="3" t="str">
        <f>IF(M$12&gt;$A29,IF(M$12=1,5,MAX($B$5-ROUNDDOWN((SQRT($B$6*(M$12+$B$8)+$B$7*($A29+$B$9)))/2,0),1)),"")</f>
        <v/>
      </c>
      <c r="N29" s="3" t="str">
        <f>IF(N$12&gt;$A29,IF(N$12=1,5,MAX($B$5-ROUNDDOWN((SQRT($B$6*(N$12+$B$8)+$B$7*($A29+$B$9)))/2,0),1)),"")</f>
        <v/>
      </c>
      <c r="O29" s="3" t="str">
        <f>IF(O$12&gt;$A29,IF(O$12=1,5,MAX($B$5-ROUNDDOWN((SQRT($B$6*(O$12+$B$8)+$B$7*($A29+$B$9)))/2,0),1)),"")</f>
        <v/>
      </c>
      <c r="P29" s="3" t="str">
        <f>IF(P$12&gt;$A29,IF(P$12=1,5,MAX($B$5-ROUNDDOWN((SQRT($B$6*(P$12+$B$8)+$B$7*($A29+$B$9)))/2,0),1)),"")</f>
        <v/>
      </c>
      <c r="Q29" s="3" t="str">
        <f>IF(Q$12&gt;$A29,IF(Q$12=1,5,MAX($B$5-ROUNDDOWN((SQRT($B$6*(Q$12+$B$8)+$B$7*($A29+$B$9)))/2,0),1)),"")</f>
        <v/>
      </c>
      <c r="R29" s="2">
        <f>IF(R$12&gt;$A29,IF(R$12=1,5,MAX($B$5-ROUNDDOWN((SQRT($B$6*(R$12+$B$8)+$B$7*($A29+$B$9)))/2,0),1)),"")</f>
        <v>1</v>
      </c>
      <c r="S29" s="2">
        <f>IF(S$12&gt;$A29,IF(S$12=1,5,MAX($B$5-ROUNDDOWN((SQRT($B$6*(S$12+$B$8)+$B$7*($A29+$B$9)))/2,0),1)),"")</f>
        <v>1</v>
      </c>
      <c r="T29" s="2">
        <f>IF(T$12&gt;$A29,IF(T$12=1,5,MAX($B$5-ROUNDDOWN((SQRT($B$6*(T$12+$B$8)+$B$7*($A29+$B$9)))/2,0),1)),"")</f>
        <v>1</v>
      </c>
      <c r="U29" s="2">
        <f>IF(U$12&gt;$A29,IF(U$12=1,5,MAX($B$5-ROUNDDOWN((SQRT($B$6*(U$12+$B$8)+$B$7*($A29+$B$9)))/2,0),1)),"")</f>
        <v>1</v>
      </c>
      <c r="V29" s="2">
        <f>IF(V$12&gt;$A29,IF(V$12=1,5,MAX($B$5-ROUNDDOWN((SQRT($B$6*(V$12+$B$8)+$B$7*($A29+$B$9)))/2,0),1)),"")</f>
        <v>1</v>
      </c>
      <c r="W29" s="2">
        <f>IF(W$12&gt;$A29,IF(W$12=1,5,MAX($B$5-ROUNDDOWN((SQRT($B$6*(W$12+$B$8)+$B$7*($A29+$B$9)))/2,0),1)),"")</f>
        <v>1</v>
      </c>
      <c r="X29" s="2">
        <f>IF(X$12&gt;$A29,IF(X$12=1,5,MAX($B$5-ROUNDDOWN((SQRT($B$6*(X$12+$B$8)+$B$7*($A29+$B$9)))/2,0),1)),"")</f>
        <v>1</v>
      </c>
      <c r="Y29" s="2">
        <f>IF(Y$12&gt;$A29,IF(Y$12=1,5,MAX($B$5-ROUNDDOWN((SQRT($B$6*(Y$12+$B$8)+$B$7*($A29+$B$9)))/2,0),1)),"")</f>
        <v>1</v>
      </c>
      <c r="Z29" s="2">
        <f>IF(Z$12&gt;$A29,IF(Z$12=1,5,MAX($B$5-ROUNDDOWN((SQRT($B$6*(Z$12+$B$8)+$B$7*($A29+$B$9)))/2,0),1)),"")</f>
        <v>1</v>
      </c>
      <c r="AA29" s="2">
        <f>IF(AA$12&gt;$A29,IF(AA$12=1,5,MAX($B$5-ROUNDDOWN((SQRT($B$6*(AA$12+$B$8)+$B$7*($A29+$B$9)))/2,0),1)),"")</f>
        <v>1</v>
      </c>
      <c r="AB29" s="2">
        <f>IF(AB$12&gt;$A29,IF(AB$12=1,5,MAX($B$5-ROUNDDOWN((SQRT($B$6*(AB$12+$B$8)+$B$7*($A29+$B$9)))/2,0),1)),"")</f>
        <v>1</v>
      </c>
    </row>
    <row r="30" spans="1:28" ht="18.75" customHeight="1" x14ac:dyDescent="0.3">
      <c r="A30" s="2">
        <v>17</v>
      </c>
      <c r="B30" s="3" t="str">
        <f>IF(B$12&gt;$A30,IF(B$12=1,5,MAX($B$5-ROUNDDOWN((SQRT($B$6*(B$12+$B$8)+$B$7*($A30+$B$9)))/2,0),1)),"")</f>
        <v/>
      </c>
      <c r="C30" s="3" t="str">
        <f>IF(C$12&gt;$A30,IF(C$12=1,5,MAX($B$5-ROUNDDOWN((SQRT($B$6*(C$12+$B$8)+$B$7*($A30+$B$9)))/2,0),1)),"")</f>
        <v/>
      </c>
      <c r="D30" s="3" t="str">
        <f>IF(D$12&gt;$A30,IF(D$12=1,5,MAX($B$5-ROUNDDOWN((SQRT($B$6*(D$12+$B$8)+$B$7*($A30+$B$9)))/2,0),1)),"")</f>
        <v/>
      </c>
      <c r="E30" s="3" t="str">
        <f>IF(E$12&gt;$A30,IF(E$12=1,5,MAX($B$5-ROUNDDOWN((SQRT($B$6*(E$12+$B$8)+$B$7*($A30+$B$9)))/2,0),1)),"")</f>
        <v/>
      </c>
      <c r="F30" s="3" t="str">
        <f>IF(F$12&gt;$A30,IF(F$12=1,5,MAX($B$5-ROUNDDOWN((SQRT($B$6*(F$12+$B$8)+$B$7*($A30+$B$9)))/2,0),1)),"")</f>
        <v/>
      </c>
      <c r="G30" s="3" t="str">
        <f>IF(G$12&gt;$A30,IF(G$12=1,5,MAX($B$5-ROUNDDOWN((SQRT($B$6*(G$12+$B$8)+$B$7*($A30+$B$9)))/2,0),1)),"")</f>
        <v/>
      </c>
      <c r="H30" s="3" t="str">
        <f>IF(H$12&gt;$A30,IF(H$12=1,5,MAX($B$5-ROUNDDOWN((SQRT($B$6*(H$12+$B$8)+$B$7*($A30+$B$9)))/2,0),1)),"")</f>
        <v/>
      </c>
      <c r="I30" s="3" t="str">
        <f>IF(I$12&gt;$A30,IF(I$12=1,5,MAX($B$5-ROUNDDOWN((SQRT($B$6*(I$12+$B$8)+$B$7*($A30+$B$9)))/2,0),1)),"")</f>
        <v/>
      </c>
      <c r="J30" s="3" t="str">
        <f>IF(J$12&gt;$A30,IF(J$12=1,5,MAX($B$5-ROUNDDOWN((SQRT($B$6*(J$12+$B$8)+$B$7*($A30+$B$9)))/2,0),1)),"")</f>
        <v/>
      </c>
      <c r="K30" s="3" t="str">
        <f>IF(K$12&gt;$A30,IF(K$12=1,5,MAX($B$5-ROUNDDOWN((SQRT($B$6*(K$12+$B$8)+$B$7*($A30+$B$9)))/2,0),1)),"")</f>
        <v/>
      </c>
      <c r="L30" s="3" t="str">
        <f>IF(L$12&gt;$A30,IF(L$12=1,5,MAX($B$5-ROUNDDOWN((SQRT($B$6*(L$12+$B$8)+$B$7*($A30+$B$9)))/2,0),1)),"")</f>
        <v/>
      </c>
      <c r="M30" s="3" t="str">
        <f>IF(M$12&gt;$A30,IF(M$12=1,5,MAX($B$5-ROUNDDOWN((SQRT($B$6*(M$12+$B$8)+$B$7*($A30+$B$9)))/2,0),1)),"")</f>
        <v/>
      </c>
      <c r="N30" s="3" t="str">
        <f>IF(N$12&gt;$A30,IF(N$12=1,5,MAX($B$5-ROUNDDOWN((SQRT($B$6*(N$12+$B$8)+$B$7*($A30+$B$9)))/2,0),1)),"")</f>
        <v/>
      </c>
      <c r="O30" s="3" t="str">
        <f>IF(O$12&gt;$A30,IF(O$12=1,5,MAX($B$5-ROUNDDOWN((SQRT($B$6*(O$12+$B$8)+$B$7*($A30+$B$9)))/2,0),1)),"")</f>
        <v/>
      </c>
      <c r="P30" s="3" t="str">
        <f>IF(P$12&gt;$A30,IF(P$12=1,5,MAX($B$5-ROUNDDOWN((SQRT($B$6*(P$12+$B$8)+$B$7*($A30+$B$9)))/2,0),1)),"")</f>
        <v/>
      </c>
      <c r="Q30" s="3" t="str">
        <f>IF(Q$12&gt;$A30,IF(Q$12=1,5,MAX($B$5-ROUNDDOWN((SQRT($B$6*(Q$12+$B$8)+$B$7*($A30+$B$9)))/2,0),1)),"")</f>
        <v/>
      </c>
      <c r="R30" s="3" t="str">
        <f>IF(R$12&gt;$A30,IF(R$12=1,5,MAX($B$5-ROUNDDOWN((SQRT($B$6*(R$12+$B$8)+$B$7*($A30+$B$9)))/2,0),1)),"")</f>
        <v/>
      </c>
      <c r="S30" s="2">
        <f>IF(S$12&gt;$A30,IF(S$12=1,5,MAX($B$5-ROUNDDOWN((SQRT($B$6*(S$12+$B$8)+$B$7*($A30+$B$9)))/2,0),1)),"")</f>
        <v>1</v>
      </c>
      <c r="T30" s="2">
        <f>IF(T$12&gt;$A30,IF(T$12=1,5,MAX($B$5-ROUNDDOWN((SQRT($B$6*(T$12+$B$8)+$B$7*($A30+$B$9)))/2,0),1)),"")</f>
        <v>1</v>
      </c>
      <c r="U30" s="2">
        <f>IF(U$12&gt;$A30,IF(U$12=1,5,MAX($B$5-ROUNDDOWN((SQRT($B$6*(U$12+$B$8)+$B$7*($A30+$B$9)))/2,0),1)),"")</f>
        <v>1</v>
      </c>
      <c r="V30" s="2">
        <f>IF(V$12&gt;$A30,IF(V$12=1,5,MAX($B$5-ROUNDDOWN((SQRT($B$6*(V$12+$B$8)+$B$7*($A30+$B$9)))/2,0),1)),"")</f>
        <v>1</v>
      </c>
      <c r="W30" s="2">
        <f>IF(W$12&gt;$A30,IF(W$12=1,5,MAX($B$5-ROUNDDOWN((SQRT($B$6*(W$12+$B$8)+$B$7*($A30+$B$9)))/2,0),1)),"")</f>
        <v>1</v>
      </c>
      <c r="X30" s="2">
        <f>IF(X$12&gt;$A30,IF(X$12=1,5,MAX($B$5-ROUNDDOWN((SQRT($B$6*(X$12+$B$8)+$B$7*($A30+$B$9)))/2,0),1)),"")</f>
        <v>1</v>
      </c>
      <c r="Y30" s="2">
        <f>IF(Y$12&gt;$A30,IF(Y$12=1,5,MAX($B$5-ROUNDDOWN((SQRT($B$6*(Y$12+$B$8)+$B$7*($A30+$B$9)))/2,0),1)),"")</f>
        <v>1</v>
      </c>
      <c r="Z30" s="2">
        <f>IF(Z$12&gt;$A30,IF(Z$12=1,5,MAX($B$5-ROUNDDOWN((SQRT($B$6*(Z$12+$B$8)+$B$7*($A30+$B$9)))/2,0),1)),"")</f>
        <v>1</v>
      </c>
      <c r="AA30" s="2">
        <f>IF(AA$12&gt;$A30,IF(AA$12=1,5,MAX($B$5-ROUNDDOWN((SQRT($B$6*(AA$12+$B$8)+$B$7*($A30+$B$9)))/2,0),1)),"")</f>
        <v>1</v>
      </c>
      <c r="AB30" s="2">
        <f>IF(AB$12&gt;$A30,IF(AB$12=1,5,MAX($B$5-ROUNDDOWN((SQRT($B$6*(AB$12+$B$8)+$B$7*($A30+$B$9)))/2,0),1)),"")</f>
        <v>1</v>
      </c>
    </row>
    <row r="31" spans="1:28" ht="18.75" customHeight="1" x14ac:dyDescent="0.3">
      <c r="A31" s="2">
        <v>18</v>
      </c>
      <c r="B31" s="3" t="str">
        <f>IF(B$12&gt;$A31,IF(B$12=1,5,MAX($B$5-ROUNDDOWN((SQRT($B$6*(B$12+$B$8)+$B$7*($A31+$B$9)))/2,0),1)),"")</f>
        <v/>
      </c>
      <c r="C31" s="3" t="str">
        <f>IF(C$12&gt;$A31,IF(C$12=1,5,MAX($B$5-ROUNDDOWN((SQRT($B$6*(C$12+$B$8)+$B$7*($A31+$B$9)))/2,0),1)),"")</f>
        <v/>
      </c>
      <c r="D31" s="3" t="str">
        <f>IF(D$12&gt;$A31,IF(D$12=1,5,MAX($B$5-ROUNDDOWN((SQRT($B$6*(D$12+$B$8)+$B$7*($A31+$B$9)))/2,0),1)),"")</f>
        <v/>
      </c>
      <c r="E31" s="3" t="str">
        <f>IF(E$12&gt;$A31,IF(E$12=1,5,MAX($B$5-ROUNDDOWN((SQRT($B$6*(E$12+$B$8)+$B$7*($A31+$B$9)))/2,0),1)),"")</f>
        <v/>
      </c>
      <c r="F31" s="3" t="str">
        <f>IF(F$12&gt;$A31,IF(F$12=1,5,MAX($B$5-ROUNDDOWN((SQRT($B$6*(F$12+$B$8)+$B$7*($A31+$B$9)))/2,0),1)),"")</f>
        <v/>
      </c>
      <c r="G31" s="3" t="str">
        <f>IF(G$12&gt;$A31,IF(G$12=1,5,MAX($B$5-ROUNDDOWN((SQRT($B$6*(G$12+$B$8)+$B$7*($A31+$B$9)))/2,0),1)),"")</f>
        <v/>
      </c>
      <c r="H31" s="3" t="str">
        <f>IF(H$12&gt;$A31,IF(H$12=1,5,MAX($B$5-ROUNDDOWN((SQRT($B$6*(H$12+$B$8)+$B$7*($A31+$B$9)))/2,0),1)),"")</f>
        <v/>
      </c>
      <c r="I31" s="3" t="str">
        <f>IF(I$12&gt;$A31,IF(I$12=1,5,MAX($B$5-ROUNDDOWN((SQRT($B$6*(I$12+$B$8)+$B$7*($A31+$B$9)))/2,0),1)),"")</f>
        <v/>
      </c>
      <c r="J31" s="3" t="str">
        <f>IF(J$12&gt;$A31,IF(J$12=1,5,MAX($B$5-ROUNDDOWN((SQRT($B$6*(J$12+$B$8)+$B$7*($A31+$B$9)))/2,0),1)),"")</f>
        <v/>
      </c>
      <c r="K31" s="3" t="str">
        <f>IF(K$12&gt;$A31,IF(K$12=1,5,MAX($B$5-ROUNDDOWN((SQRT($B$6*(K$12+$B$8)+$B$7*($A31+$B$9)))/2,0),1)),"")</f>
        <v/>
      </c>
      <c r="L31" s="3" t="str">
        <f>IF(L$12&gt;$A31,IF(L$12=1,5,MAX($B$5-ROUNDDOWN((SQRT($B$6*(L$12+$B$8)+$B$7*($A31+$B$9)))/2,0),1)),"")</f>
        <v/>
      </c>
      <c r="M31" s="3" t="str">
        <f>IF(M$12&gt;$A31,IF(M$12=1,5,MAX($B$5-ROUNDDOWN((SQRT($B$6*(M$12+$B$8)+$B$7*($A31+$B$9)))/2,0),1)),"")</f>
        <v/>
      </c>
      <c r="N31" s="3" t="str">
        <f>IF(N$12&gt;$A31,IF(N$12=1,5,MAX($B$5-ROUNDDOWN((SQRT($B$6*(N$12+$B$8)+$B$7*($A31+$B$9)))/2,0),1)),"")</f>
        <v/>
      </c>
      <c r="O31" s="3" t="str">
        <f>IF(O$12&gt;$A31,IF(O$12=1,5,MAX($B$5-ROUNDDOWN((SQRT($B$6*(O$12+$B$8)+$B$7*($A31+$B$9)))/2,0),1)),"")</f>
        <v/>
      </c>
      <c r="P31" s="3" t="str">
        <f>IF(P$12&gt;$A31,IF(P$12=1,5,MAX($B$5-ROUNDDOWN((SQRT($B$6*(P$12+$B$8)+$B$7*($A31+$B$9)))/2,0),1)),"")</f>
        <v/>
      </c>
      <c r="Q31" s="3" t="str">
        <f>IF(Q$12&gt;$A31,IF(Q$12=1,5,MAX($B$5-ROUNDDOWN((SQRT($B$6*(Q$12+$B$8)+$B$7*($A31+$B$9)))/2,0),1)),"")</f>
        <v/>
      </c>
      <c r="R31" s="3" t="str">
        <f>IF(R$12&gt;$A31,IF(R$12=1,5,MAX($B$5-ROUNDDOWN((SQRT($B$6*(R$12+$B$8)+$B$7*($A31+$B$9)))/2,0),1)),"")</f>
        <v/>
      </c>
      <c r="S31" s="3" t="str">
        <f>IF(S$12&gt;$A31,IF(S$12=1,5,MAX($B$5-ROUNDDOWN((SQRT($B$6*(S$12+$B$8)+$B$7*($A31+$B$9)))/2,0),1)),"")</f>
        <v/>
      </c>
      <c r="T31" s="2">
        <f>IF(T$12&gt;$A31,IF(T$12=1,5,MAX($B$5-ROUNDDOWN((SQRT($B$6*(T$12+$B$8)+$B$7*($A31+$B$9)))/2,0),1)),"")</f>
        <v>1</v>
      </c>
      <c r="U31" s="2">
        <f>IF(U$12&gt;$A31,IF(U$12=1,5,MAX($B$5-ROUNDDOWN((SQRT($B$6*(U$12+$B$8)+$B$7*($A31+$B$9)))/2,0),1)),"")</f>
        <v>1</v>
      </c>
      <c r="V31" s="2">
        <f>IF(V$12&gt;$A31,IF(V$12=1,5,MAX($B$5-ROUNDDOWN((SQRT($B$6*(V$12+$B$8)+$B$7*($A31+$B$9)))/2,0),1)),"")</f>
        <v>1</v>
      </c>
      <c r="W31" s="2">
        <f>IF(W$12&gt;$A31,IF(W$12=1,5,MAX($B$5-ROUNDDOWN((SQRT($B$6*(W$12+$B$8)+$B$7*($A31+$B$9)))/2,0),1)),"")</f>
        <v>1</v>
      </c>
      <c r="X31" s="2">
        <f>IF(X$12&gt;$A31,IF(X$12=1,5,MAX($B$5-ROUNDDOWN((SQRT($B$6*(X$12+$B$8)+$B$7*($A31+$B$9)))/2,0),1)),"")</f>
        <v>1</v>
      </c>
      <c r="Y31" s="2">
        <f>IF(Y$12&gt;$A31,IF(Y$12=1,5,MAX($B$5-ROUNDDOWN((SQRT($B$6*(Y$12+$B$8)+$B$7*($A31+$B$9)))/2,0),1)),"")</f>
        <v>1</v>
      </c>
      <c r="Z31" s="2">
        <f>IF(Z$12&gt;$A31,IF(Z$12=1,5,MAX($B$5-ROUNDDOWN((SQRT($B$6*(Z$12+$B$8)+$B$7*($A31+$B$9)))/2,0),1)),"")</f>
        <v>1</v>
      </c>
      <c r="AA31" s="2">
        <f>IF(AA$12&gt;$A31,IF(AA$12=1,5,MAX($B$5-ROUNDDOWN((SQRT($B$6*(AA$12+$B$8)+$B$7*($A31+$B$9)))/2,0),1)),"")</f>
        <v>1</v>
      </c>
      <c r="AB31" s="2">
        <f>IF(AB$12&gt;$A31,IF(AB$12=1,5,MAX($B$5-ROUNDDOWN((SQRT($B$6*(AB$12+$B$8)+$B$7*($A31+$B$9)))/2,0),1)),"")</f>
        <v>1</v>
      </c>
    </row>
    <row r="32" spans="1:28" ht="18.75" customHeight="1" x14ac:dyDescent="0.3">
      <c r="A32" s="2">
        <v>19</v>
      </c>
      <c r="B32" s="3" t="str">
        <f>IF(B$12&gt;$A32,IF(B$12=1,5,MAX($B$5-ROUNDDOWN((SQRT($B$6*(B$12+$B$8)+$B$7*($A32+$B$9)))/2,0),1)),"")</f>
        <v/>
      </c>
      <c r="C32" s="3" t="str">
        <f>IF(C$12&gt;$A32,IF(C$12=1,5,MAX($B$5-ROUNDDOWN((SQRT($B$6*(C$12+$B$8)+$B$7*($A32+$B$9)))/2,0),1)),"")</f>
        <v/>
      </c>
      <c r="D32" s="3" t="str">
        <f>IF(D$12&gt;$A32,IF(D$12=1,5,MAX($B$5-ROUNDDOWN((SQRT($B$6*(D$12+$B$8)+$B$7*($A32+$B$9)))/2,0),1)),"")</f>
        <v/>
      </c>
      <c r="E32" s="3" t="str">
        <f>IF(E$12&gt;$A32,IF(E$12=1,5,MAX($B$5-ROUNDDOWN((SQRT($B$6*(E$12+$B$8)+$B$7*($A32+$B$9)))/2,0),1)),"")</f>
        <v/>
      </c>
      <c r="F32" s="3" t="str">
        <f>IF(F$12&gt;$A32,IF(F$12=1,5,MAX($B$5-ROUNDDOWN((SQRT($B$6*(F$12+$B$8)+$B$7*($A32+$B$9)))/2,0),1)),"")</f>
        <v/>
      </c>
      <c r="G32" s="3" t="str">
        <f>IF(G$12&gt;$A32,IF(G$12=1,5,MAX($B$5-ROUNDDOWN((SQRT($B$6*(G$12+$B$8)+$B$7*($A32+$B$9)))/2,0),1)),"")</f>
        <v/>
      </c>
      <c r="H32" s="3" t="str">
        <f>IF(H$12&gt;$A32,IF(H$12=1,5,MAX($B$5-ROUNDDOWN((SQRT($B$6*(H$12+$B$8)+$B$7*($A32+$B$9)))/2,0),1)),"")</f>
        <v/>
      </c>
      <c r="I32" s="3" t="str">
        <f>IF(I$12&gt;$A32,IF(I$12=1,5,MAX($B$5-ROUNDDOWN((SQRT($B$6*(I$12+$B$8)+$B$7*($A32+$B$9)))/2,0),1)),"")</f>
        <v/>
      </c>
      <c r="J32" s="3" t="str">
        <f>IF(J$12&gt;$A32,IF(J$12=1,5,MAX($B$5-ROUNDDOWN((SQRT($B$6*(J$12+$B$8)+$B$7*($A32+$B$9)))/2,0),1)),"")</f>
        <v/>
      </c>
      <c r="K32" s="3" t="str">
        <f>IF(K$12&gt;$A32,IF(K$12=1,5,MAX($B$5-ROUNDDOWN((SQRT($B$6*(K$12+$B$8)+$B$7*($A32+$B$9)))/2,0),1)),"")</f>
        <v/>
      </c>
      <c r="L32" s="3" t="str">
        <f>IF(L$12&gt;$A32,IF(L$12=1,5,MAX($B$5-ROUNDDOWN((SQRT($B$6*(L$12+$B$8)+$B$7*($A32+$B$9)))/2,0),1)),"")</f>
        <v/>
      </c>
      <c r="M32" s="3" t="str">
        <f>IF(M$12&gt;$A32,IF(M$12=1,5,MAX($B$5-ROUNDDOWN((SQRT($B$6*(M$12+$B$8)+$B$7*($A32+$B$9)))/2,0),1)),"")</f>
        <v/>
      </c>
      <c r="N32" s="3" t="str">
        <f>IF(N$12&gt;$A32,IF(N$12=1,5,MAX($B$5-ROUNDDOWN((SQRT($B$6*(N$12+$B$8)+$B$7*($A32+$B$9)))/2,0),1)),"")</f>
        <v/>
      </c>
      <c r="O32" s="3" t="str">
        <f>IF(O$12&gt;$A32,IF(O$12=1,5,MAX($B$5-ROUNDDOWN((SQRT($B$6*(O$12+$B$8)+$B$7*($A32+$B$9)))/2,0),1)),"")</f>
        <v/>
      </c>
      <c r="P32" s="3" t="str">
        <f>IF(P$12&gt;$A32,IF(P$12=1,5,MAX($B$5-ROUNDDOWN((SQRT($B$6*(P$12+$B$8)+$B$7*($A32+$B$9)))/2,0),1)),"")</f>
        <v/>
      </c>
      <c r="Q32" s="3" t="str">
        <f>IF(Q$12&gt;$A32,IF(Q$12=1,5,MAX($B$5-ROUNDDOWN((SQRT($B$6*(Q$12+$B$8)+$B$7*($A32+$B$9)))/2,0),1)),"")</f>
        <v/>
      </c>
      <c r="R32" s="3" t="str">
        <f>IF(R$12&gt;$A32,IF(R$12=1,5,MAX($B$5-ROUNDDOWN((SQRT($B$6*(R$12+$B$8)+$B$7*($A32+$B$9)))/2,0),1)),"")</f>
        <v/>
      </c>
      <c r="S32" s="3" t="str">
        <f>IF(S$12&gt;$A32,IF(S$12=1,5,MAX($B$5-ROUNDDOWN((SQRT($B$6*(S$12+$B$8)+$B$7*($A32+$B$9)))/2,0),1)),"")</f>
        <v/>
      </c>
      <c r="T32" s="3" t="str">
        <f>IF(T$12&gt;$A32,IF(T$12=1,5,MAX($B$5-ROUNDDOWN((SQRT($B$6*(T$12+$B$8)+$B$7*($A32+$B$9)))/2,0),1)),"")</f>
        <v/>
      </c>
      <c r="U32" s="2">
        <f>IF(U$12&gt;$A32,IF(U$12=1,5,MAX($B$5-ROUNDDOWN((SQRT($B$6*(U$12+$B$8)+$B$7*($A32+$B$9)))/2,0),1)),"")</f>
        <v>1</v>
      </c>
      <c r="V32" s="2">
        <f>IF(V$12&gt;$A32,IF(V$12=1,5,MAX($B$5-ROUNDDOWN((SQRT($B$6*(V$12+$B$8)+$B$7*($A32+$B$9)))/2,0),1)),"")</f>
        <v>1</v>
      </c>
      <c r="W32" s="2">
        <f>IF(W$12&gt;$A32,IF(W$12=1,5,MAX($B$5-ROUNDDOWN((SQRT($B$6*(W$12+$B$8)+$B$7*($A32+$B$9)))/2,0),1)),"")</f>
        <v>1</v>
      </c>
      <c r="X32" s="2">
        <f>IF(X$12&gt;$A32,IF(X$12=1,5,MAX($B$5-ROUNDDOWN((SQRT($B$6*(X$12+$B$8)+$B$7*($A32+$B$9)))/2,0),1)),"")</f>
        <v>1</v>
      </c>
      <c r="Y32" s="2">
        <f>IF(Y$12&gt;$A32,IF(Y$12=1,5,MAX($B$5-ROUNDDOWN((SQRT($B$6*(Y$12+$B$8)+$B$7*($A32+$B$9)))/2,0),1)),"")</f>
        <v>1</v>
      </c>
      <c r="Z32" s="2">
        <f>IF(Z$12&gt;$A32,IF(Z$12=1,5,MAX($B$5-ROUNDDOWN((SQRT($B$6*(Z$12+$B$8)+$B$7*($A32+$B$9)))/2,0),1)),"")</f>
        <v>1</v>
      </c>
      <c r="AA32" s="2">
        <f>IF(AA$12&gt;$A32,IF(AA$12=1,5,MAX($B$5-ROUNDDOWN((SQRT($B$6*(AA$12+$B$8)+$B$7*($A32+$B$9)))/2,0),1)),"")</f>
        <v>1</v>
      </c>
      <c r="AB32" s="2">
        <f>IF(AB$12&gt;$A32,IF(AB$12=1,5,MAX($B$5-ROUNDDOWN((SQRT($B$6*(AB$12+$B$8)+$B$7*($A32+$B$9)))/2,0),1)),"")</f>
        <v>1</v>
      </c>
    </row>
    <row r="33" spans="1:28" ht="18.75" customHeight="1" x14ac:dyDescent="0.3">
      <c r="A33" s="2">
        <v>20</v>
      </c>
      <c r="B33" s="3" t="str">
        <f>IF(B$12&gt;$A33,IF(B$12=1,5,MAX($B$5-ROUNDDOWN((SQRT($B$6*(B$12+$B$8)+$B$7*($A33+$B$9)))/2,0),1)),"")</f>
        <v/>
      </c>
      <c r="C33" s="3" t="str">
        <f>IF(C$12&gt;$A33,IF(C$12=1,5,MAX($B$5-ROUNDDOWN((SQRT($B$6*(C$12+$B$8)+$B$7*($A33+$B$9)))/2,0),1)),"")</f>
        <v/>
      </c>
      <c r="D33" s="3" t="str">
        <f>IF(D$12&gt;$A33,IF(D$12=1,5,MAX($B$5-ROUNDDOWN((SQRT($B$6*(D$12+$B$8)+$B$7*($A33+$B$9)))/2,0),1)),"")</f>
        <v/>
      </c>
      <c r="E33" s="3" t="str">
        <f>IF(E$12&gt;$A33,IF(E$12=1,5,MAX($B$5-ROUNDDOWN((SQRT($B$6*(E$12+$B$8)+$B$7*($A33+$B$9)))/2,0),1)),"")</f>
        <v/>
      </c>
      <c r="F33" s="3" t="str">
        <f>IF(F$12&gt;$A33,IF(F$12=1,5,MAX($B$5-ROUNDDOWN((SQRT($B$6*(F$12+$B$8)+$B$7*($A33+$B$9)))/2,0),1)),"")</f>
        <v/>
      </c>
      <c r="G33" s="3" t="str">
        <f>IF(G$12&gt;$A33,IF(G$12=1,5,MAX($B$5-ROUNDDOWN((SQRT($B$6*(G$12+$B$8)+$B$7*($A33+$B$9)))/2,0),1)),"")</f>
        <v/>
      </c>
      <c r="H33" s="3" t="str">
        <f>IF(H$12&gt;$A33,IF(H$12=1,5,MAX($B$5-ROUNDDOWN((SQRT($B$6*(H$12+$B$8)+$B$7*($A33+$B$9)))/2,0),1)),"")</f>
        <v/>
      </c>
      <c r="I33" s="3" t="str">
        <f>IF(I$12&gt;$A33,IF(I$12=1,5,MAX($B$5-ROUNDDOWN((SQRT($B$6*(I$12+$B$8)+$B$7*($A33+$B$9)))/2,0),1)),"")</f>
        <v/>
      </c>
      <c r="J33" s="3" t="str">
        <f>IF(J$12&gt;$A33,IF(J$12=1,5,MAX($B$5-ROUNDDOWN((SQRT($B$6*(J$12+$B$8)+$B$7*($A33+$B$9)))/2,0),1)),"")</f>
        <v/>
      </c>
      <c r="K33" s="3" t="str">
        <f>IF(K$12&gt;$A33,IF(K$12=1,5,MAX($B$5-ROUNDDOWN((SQRT($B$6*(K$12+$B$8)+$B$7*($A33+$B$9)))/2,0),1)),"")</f>
        <v/>
      </c>
      <c r="L33" s="3" t="str">
        <f>IF(L$12&gt;$A33,IF(L$12=1,5,MAX($B$5-ROUNDDOWN((SQRT($B$6*(L$12+$B$8)+$B$7*($A33+$B$9)))/2,0),1)),"")</f>
        <v/>
      </c>
      <c r="M33" s="3" t="str">
        <f>IF(M$12&gt;$A33,IF(M$12=1,5,MAX($B$5-ROUNDDOWN((SQRT($B$6*(M$12+$B$8)+$B$7*($A33+$B$9)))/2,0),1)),"")</f>
        <v/>
      </c>
      <c r="N33" s="3" t="str">
        <f>IF(N$12&gt;$A33,IF(N$12=1,5,MAX($B$5-ROUNDDOWN((SQRT($B$6*(N$12+$B$8)+$B$7*($A33+$B$9)))/2,0),1)),"")</f>
        <v/>
      </c>
      <c r="O33" s="3" t="str">
        <f>IF(O$12&gt;$A33,IF(O$12=1,5,MAX($B$5-ROUNDDOWN((SQRT($B$6*(O$12+$B$8)+$B$7*($A33+$B$9)))/2,0),1)),"")</f>
        <v/>
      </c>
      <c r="P33" s="3" t="str">
        <f>IF(P$12&gt;$A33,IF(P$12=1,5,MAX($B$5-ROUNDDOWN((SQRT($B$6*(P$12+$B$8)+$B$7*($A33+$B$9)))/2,0),1)),"")</f>
        <v/>
      </c>
      <c r="Q33" s="3" t="str">
        <f>IF(Q$12&gt;$A33,IF(Q$12=1,5,MAX($B$5-ROUNDDOWN((SQRT($B$6*(Q$12+$B$8)+$B$7*($A33+$B$9)))/2,0),1)),"")</f>
        <v/>
      </c>
      <c r="R33" s="3" t="str">
        <f>IF(R$12&gt;$A33,IF(R$12=1,5,MAX($B$5-ROUNDDOWN((SQRT($B$6*(R$12+$B$8)+$B$7*($A33+$B$9)))/2,0),1)),"")</f>
        <v/>
      </c>
      <c r="S33" s="3" t="str">
        <f>IF(S$12&gt;$A33,IF(S$12=1,5,MAX($B$5-ROUNDDOWN((SQRT($B$6*(S$12+$B$8)+$B$7*($A33+$B$9)))/2,0),1)),"")</f>
        <v/>
      </c>
      <c r="T33" s="3" t="str">
        <f>IF(T$12&gt;$A33,IF(T$12=1,5,MAX($B$5-ROUNDDOWN((SQRT($B$6*(T$12+$B$8)+$B$7*($A33+$B$9)))/2,0),1)),"")</f>
        <v/>
      </c>
      <c r="U33" s="3" t="str">
        <f>IF(U$12&gt;$A33,IF(U$12=1,5,MAX($B$5-ROUNDDOWN((SQRT($B$6*(U$12+$B$8)+$B$7*($A33+$B$9)))/2,0),1)),"")</f>
        <v/>
      </c>
      <c r="V33" s="2">
        <f>IF(V$12&gt;$A33,IF(V$12=1,5,MAX($B$5-ROUNDDOWN((SQRT($B$6*(V$12+$B$8)+$B$7*($A33+$B$9)))/2,0),1)),"")</f>
        <v>1</v>
      </c>
      <c r="W33" s="2">
        <f>IF(W$12&gt;$A33,IF(W$12=1,5,MAX($B$5-ROUNDDOWN((SQRT($B$6*(W$12+$B$8)+$B$7*($A33+$B$9)))/2,0),1)),"")</f>
        <v>1</v>
      </c>
      <c r="X33" s="2">
        <f>IF(X$12&gt;$A33,IF(X$12=1,5,MAX($B$5-ROUNDDOWN((SQRT($B$6*(X$12+$B$8)+$B$7*($A33+$B$9)))/2,0),1)),"")</f>
        <v>1</v>
      </c>
      <c r="Y33" s="2">
        <f>IF(Y$12&gt;$A33,IF(Y$12=1,5,MAX($B$5-ROUNDDOWN((SQRT($B$6*(Y$12+$B$8)+$B$7*($A33+$B$9)))/2,0),1)),"")</f>
        <v>1</v>
      </c>
      <c r="Z33" s="2">
        <f>IF(Z$12&gt;$A33,IF(Z$12=1,5,MAX($B$5-ROUNDDOWN((SQRT($B$6*(Z$12+$B$8)+$B$7*($A33+$B$9)))/2,0),1)),"")</f>
        <v>1</v>
      </c>
      <c r="AA33" s="2">
        <f>IF(AA$12&gt;$A33,IF(AA$12=1,5,MAX($B$5-ROUNDDOWN((SQRT($B$6*(AA$12+$B$8)+$B$7*($A33+$B$9)))/2,0),1)),"")</f>
        <v>1</v>
      </c>
      <c r="AB33" s="2">
        <f>IF(AB$12&gt;$A33,IF(AB$12=1,5,MAX($B$5-ROUNDDOWN((SQRT($B$6*(AB$12+$B$8)+$B$7*($A33+$B$9)))/2,0),1)),"")</f>
        <v>1</v>
      </c>
    </row>
    <row r="34" spans="1:28" ht="18.75" customHeight="1" x14ac:dyDescent="0.3">
      <c r="A34" s="2">
        <v>21</v>
      </c>
      <c r="B34" s="3" t="str">
        <f>IF(B$12&gt;$A34,IF(B$12=1,5,MAX($B$5-ROUNDDOWN((SQRT($B$6*(B$12+$B$8)+$B$7*($A34+$B$9)))/2,0),1)),"")</f>
        <v/>
      </c>
      <c r="C34" s="3" t="str">
        <f>IF(C$12&gt;$A34,IF(C$12=1,5,MAX($B$5-ROUNDDOWN((SQRT($B$6*(C$12+$B$8)+$B$7*($A34+$B$9)))/2,0),1)),"")</f>
        <v/>
      </c>
      <c r="D34" s="3" t="str">
        <f>IF(D$12&gt;$A34,IF(D$12=1,5,MAX($B$5-ROUNDDOWN((SQRT($B$6*(D$12+$B$8)+$B$7*($A34+$B$9)))/2,0),1)),"")</f>
        <v/>
      </c>
      <c r="E34" s="3" t="str">
        <f>IF(E$12&gt;$A34,IF(E$12=1,5,MAX($B$5-ROUNDDOWN((SQRT($B$6*(E$12+$B$8)+$B$7*($A34+$B$9)))/2,0),1)),"")</f>
        <v/>
      </c>
      <c r="F34" s="3" t="str">
        <f>IF(F$12&gt;$A34,IF(F$12=1,5,MAX($B$5-ROUNDDOWN((SQRT($B$6*(F$12+$B$8)+$B$7*($A34+$B$9)))/2,0),1)),"")</f>
        <v/>
      </c>
      <c r="G34" s="3" t="str">
        <f>IF(G$12&gt;$A34,IF(G$12=1,5,MAX($B$5-ROUNDDOWN((SQRT($B$6*(G$12+$B$8)+$B$7*($A34+$B$9)))/2,0),1)),"")</f>
        <v/>
      </c>
      <c r="H34" s="3" t="str">
        <f>IF(H$12&gt;$A34,IF(H$12=1,5,MAX($B$5-ROUNDDOWN((SQRT($B$6*(H$12+$B$8)+$B$7*($A34+$B$9)))/2,0),1)),"")</f>
        <v/>
      </c>
      <c r="I34" s="3" t="str">
        <f>IF(I$12&gt;$A34,IF(I$12=1,5,MAX($B$5-ROUNDDOWN((SQRT($B$6*(I$12+$B$8)+$B$7*($A34+$B$9)))/2,0),1)),"")</f>
        <v/>
      </c>
      <c r="J34" s="3" t="str">
        <f>IF(J$12&gt;$A34,IF(J$12=1,5,MAX($B$5-ROUNDDOWN((SQRT($B$6*(J$12+$B$8)+$B$7*($A34+$B$9)))/2,0),1)),"")</f>
        <v/>
      </c>
      <c r="K34" s="3" t="str">
        <f>IF(K$12&gt;$A34,IF(K$12=1,5,MAX($B$5-ROUNDDOWN((SQRT($B$6*(K$12+$B$8)+$B$7*($A34+$B$9)))/2,0),1)),"")</f>
        <v/>
      </c>
      <c r="L34" s="3" t="str">
        <f>IF(L$12&gt;$A34,IF(L$12=1,5,MAX($B$5-ROUNDDOWN((SQRT($B$6*(L$12+$B$8)+$B$7*($A34+$B$9)))/2,0),1)),"")</f>
        <v/>
      </c>
      <c r="M34" s="3" t="str">
        <f>IF(M$12&gt;$A34,IF(M$12=1,5,MAX($B$5-ROUNDDOWN((SQRT($B$6*(M$12+$B$8)+$B$7*($A34+$B$9)))/2,0),1)),"")</f>
        <v/>
      </c>
      <c r="N34" s="3" t="str">
        <f>IF(N$12&gt;$A34,IF(N$12=1,5,MAX($B$5-ROUNDDOWN((SQRT($B$6*(N$12+$B$8)+$B$7*($A34+$B$9)))/2,0),1)),"")</f>
        <v/>
      </c>
      <c r="O34" s="3" t="str">
        <f>IF(O$12&gt;$A34,IF(O$12=1,5,MAX($B$5-ROUNDDOWN((SQRT($B$6*(O$12+$B$8)+$B$7*($A34+$B$9)))/2,0),1)),"")</f>
        <v/>
      </c>
      <c r="P34" s="3" t="str">
        <f>IF(P$12&gt;$A34,IF(P$12=1,5,MAX($B$5-ROUNDDOWN((SQRT($B$6*(P$12+$B$8)+$B$7*($A34+$B$9)))/2,0),1)),"")</f>
        <v/>
      </c>
      <c r="Q34" s="3" t="str">
        <f>IF(Q$12&gt;$A34,IF(Q$12=1,5,MAX($B$5-ROUNDDOWN((SQRT($B$6*(Q$12+$B$8)+$B$7*($A34+$B$9)))/2,0),1)),"")</f>
        <v/>
      </c>
      <c r="R34" s="3" t="str">
        <f>IF(R$12&gt;$A34,IF(R$12=1,5,MAX($B$5-ROUNDDOWN((SQRT($B$6*(R$12+$B$8)+$B$7*($A34+$B$9)))/2,0),1)),"")</f>
        <v/>
      </c>
      <c r="S34" s="3" t="str">
        <f>IF(S$12&gt;$A34,IF(S$12=1,5,MAX($B$5-ROUNDDOWN((SQRT($B$6*(S$12+$B$8)+$B$7*($A34+$B$9)))/2,0),1)),"")</f>
        <v/>
      </c>
      <c r="T34" s="3" t="str">
        <f>IF(T$12&gt;$A34,IF(T$12=1,5,MAX($B$5-ROUNDDOWN((SQRT($B$6*(T$12+$B$8)+$B$7*($A34+$B$9)))/2,0),1)),"")</f>
        <v/>
      </c>
      <c r="U34" s="3" t="str">
        <f>IF(U$12&gt;$A34,IF(U$12=1,5,MAX($B$5-ROUNDDOWN((SQRT($B$6*(U$12+$B$8)+$B$7*($A34+$B$9)))/2,0),1)),"")</f>
        <v/>
      </c>
      <c r="V34" s="3" t="str">
        <f>IF(V$12&gt;$A34,IF(V$12=1,5,MAX($B$5-ROUNDDOWN((SQRT($B$6*(V$12+$B$8)+$B$7*($A34+$B$9)))/2,0),1)),"")</f>
        <v/>
      </c>
      <c r="W34" s="2">
        <f>IF(W$12&gt;$A34,IF(W$12=1,5,MAX($B$5-ROUNDDOWN((SQRT($B$6*(W$12+$B$8)+$B$7*($A34+$B$9)))/2,0),1)),"")</f>
        <v>1</v>
      </c>
      <c r="X34" s="2">
        <f>IF(X$12&gt;$A34,IF(X$12=1,5,MAX($B$5-ROUNDDOWN((SQRT($B$6*(X$12+$B$8)+$B$7*($A34+$B$9)))/2,0),1)),"")</f>
        <v>1</v>
      </c>
      <c r="Y34" s="2">
        <f>IF(Y$12&gt;$A34,IF(Y$12=1,5,MAX($B$5-ROUNDDOWN((SQRT($B$6*(Y$12+$B$8)+$B$7*($A34+$B$9)))/2,0),1)),"")</f>
        <v>1</v>
      </c>
      <c r="Z34" s="2">
        <f>IF(Z$12&gt;$A34,IF(Z$12=1,5,MAX($B$5-ROUNDDOWN((SQRT($B$6*(Z$12+$B$8)+$B$7*($A34+$B$9)))/2,0),1)),"")</f>
        <v>1</v>
      </c>
      <c r="AA34" s="2">
        <f>IF(AA$12&gt;$A34,IF(AA$12=1,5,MAX($B$5-ROUNDDOWN((SQRT($B$6*(AA$12+$B$8)+$B$7*($A34+$B$9)))/2,0),1)),"")</f>
        <v>1</v>
      </c>
      <c r="AB34" s="2">
        <f>IF(AB$12&gt;$A34,IF(AB$12=1,5,MAX($B$5-ROUNDDOWN((SQRT($B$6*(AB$12+$B$8)+$B$7*($A34+$B$9)))/2,0),1)),"")</f>
        <v>1</v>
      </c>
    </row>
    <row r="35" spans="1:28" ht="18.75" customHeight="1" x14ac:dyDescent="0.3">
      <c r="A35" s="2">
        <v>22</v>
      </c>
      <c r="B35" s="3" t="str">
        <f>IF(B$12&gt;$A35,IF(B$12=1,5,MAX($B$5-ROUNDDOWN((SQRT($B$6*(B$12+$B$8)+$B$7*($A35+$B$9)))/2,0),1)),"")</f>
        <v/>
      </c>
      <c r="C35" s="3" t="str">
        <f>IF(C$12&gt;$A35,IF(C$12=1,5,MAX($B$5-ROUNDDOWN((SQRT($B$6*(C$12+$B$8)+$B$7*($A35+$B$9)))/2,0),1)),"")</f>
        <v/>
      </c>
      <c r="D35" s="3" t="str">
        <f>IF(D$12&gt;$A35,IF(D$12=1,5,MAX($B$5-ROUNDDOWN((SQRT($B$6*(D$12+$B$8)+$B$7*($A35+$B$9)))/2,0),1)),"")</f>
        <v/>
      </c>
      <c r="E35" s="3" t="str">
        <f>IF(E$12&gt;$A35,IF(E$12=1,5,MAX($B$5-ROUNDDOWN((SQRT($B$6*(E$12+$B$8)+$B$7*($A35+$B$9)))/2,0),1)),"")</f>
        <v/>
      </c>
      <c r="F35" s="3" t="str">
        <f>IF(F$12&gt;$A35,IF(F$12=1,5,MAX($B$5-ROUNDDOWN((SQRT($B$6*(F$12+$B$8)+$B$7*($A35+$B$9)))/2,0),1)),"")</f>
        <v/>
      </c>
      <c r="G35" s="3" t="str">
        <f>IF(G$12&gt;$A35,IF(G$12=1,5,MAX($B$5-ROUNDDOWN((SQRT($B$6*(G$12+$B$8)+$B$7*($A35+$B$9)))/2,0),1)),"")</f>
        <v/>
      </c>
      <c r="H35" s="3" t="str">
        <f>IF(H$12&gt;$A35,IF(H$12=1,5,MAX($B$5-ROUNDDOWN((SQRT($B$6*(H$12+$B$8)+$B$7*($A35+$B$9)))/2,0),1)),"")</f>
        <v/>
      </c>
      <c r="I35" s="3" t="str">
        <f>IF(I$12&gt;$A35,IF(I$12=1,5,MAX($B$5-ROUNDDOWN((SQRT($B$6*(I$12+$B$8)+$B$7*($A35+$B$9)))/2,0),1)),"")</f>
        <v/>
      </c>
      <c r="J35" s="3" t="str">
        <f>IF(J$12&gt;$A35,IF(J$12=1,5,MAX($B$5-ROUNDDOWN((SQRT($B$6*(J$12+$B$8)+$B$7*($A35+$B$9)))/2,0),1)),"")</f>
        <v/>
      </c>
      <c r="K35" s="3" t="str">
        <f>IF(K$12&gt;$A35,IF(K$12=1,5,MAX($B$5-ROUNDDOWN((SQRT($B$6*(K$12+$B$8)+$B$7*($A35+$B$9)))/2,0),1)),"")</f>
        <v/>
      </c>
      <c r="L35" s="3" t="str">
        <f>IF(L$12&gt;$A35,IF(L$12=1,5,MAX($B$5-ROUNDDOWN((SQRT($B$6*(L$12+$B$8)+$B$7*($A35+$B$9)))/2,0),1)),"")</f>
        <v/>
      </c>
      <c r="M35" s="3" t="str">
        <f>IF(M$12&gt;$A35,IF(M$12=1,5,MAX($B$5-ROUNDDOWN((SQRT($B$6*(M$12+$B$8)+$B$7*($A35+$B$9)))/2,0),1)),"")</f>
        <v/>
      </c>
      <c r="N35" s="3" t="str">
        <f>IF(N$12&gt;$A35,IF(N$12=1,5,MAX($B$5-ROUNDDOWN((SQRT($B$6*(N$12+$B$8)+$B$7*($A35+$B$9)))/2,0),1)),"")</f>
        <v/>
      </c>
      <c r="O35" s="3" t="str">
        <f>IF(O$12&gt;$A35,IF(O$12=1,5,MAX($B$5-ROUNDDOWN((SQRT($B$6*(O$12+$B$8)+$B$7*($A35+$B$9)))/2,0),1)),"")</f>
        <v/>
      </c>
      <c r="P35" s="3" t="str">
        <f>IF(P$12&gt;$A35,IF(P$12=1,5,MAX($B$5-ROUNDDOWN((SQRT($B$6*(P$12+$B$8)+$B$7*($A35+$B$9)))/2,0),1)),"")</f>
        <v/>
      </c>
      <c r="Q35" s="3" t="str">
        <f>IF(Q$12&gt;$A35,IF(Q$12=1,5,MAX($B$5-ROUNDDOWN((SQRT($B$6*(Q$12+$B$8)+$B$7*($A35+$B$9)))/2,0),1)),"")</f>
        <v/>
      </c>
      <c r="R35" s="3" t="str">
        <f>IF(R$12&gt;$A35,IF(R$12=1,5,MAX($B$5-ROUNDDOWN((SQRT($B$6*(R$12+$B$8)+$B$7*($A35+$B$9)))/2,0),1)),"")</f>
        <v/>
      </c>
      <c r="S35" s="3" t="str">
        <f>IF(S$12&gt;$A35,IF(S$12=1,5,MAX($B$5-ROUNDDOWN((SQRT($B$6*(S$12+$B$8)+$B$7*($A35+$B$9)))/2,0),1)),"")</f>
        <v/>
      </c>
      <c r="T35" s="3" t="str">
        <f>IF(T$12&gt;$A35,IF(T$12=1,5,MAX($B$5-ROUNDDOWN((SQRT($B$6*(T$12+$B$8)+$B$7*($A35+$B$9)))/2,0),1)),"")</f>
        <v/>
      </c>
      <c r="U35" s="3" t="str">
        <f>IF(U$12&gt;$A35,IF(U$12=1,5,MAX($B$5-ROUNDDOWN((SQRT($B$6*(U$12+$B$8)+$B$7*($A35+$B$9)))/2,0),1)),"")</f>
        <v/>
      </c>
      <c r="V35" s="3" t="str">
        <f>IF(V$12&gt;$A35,IF(V$12=1,5,MAX($B$5-ROUNDDOWN((SQRT($B$6*(V$12+$B$8)+$B$7*($A35+$B$9)))/2,0),1)),"")</f>
        <v/>
      </c>
      <c r="W35" s="3" t="str">
        <f>IF(W$12&gt;$A35,IF(W$12=1,5,MAX($B$5-ROUNDDOWN((SQRT($B$6*(W$12+$B$8)+$B$7*($A35+$B$9)))/2,0),1)),"")</f>
        <v/>
      </c>
      <c r="X35" s="2">
        <f>IF(X$12&gt;$A35,IF(X$12=1,5,MAX($B$5-ROUNDDOWN((SQRT($B$6*(X$12+$B$8)+$B$7*($A35+$B$9)))/2,0),1)),"")</f>
        <v>1</v>
      </c>
      <c r="Y35" s="2">
        <f>IF(Y$12&gt;$A35,IF(Y$12=1,5,MAX($B$5-ROUNDDOWN((SQRT($B$6*(Y$12+$B$8)+$B$7*($A35+$B$9)))/2,0),1)),"")</f>
        <v>1</v>
      </c>
      <c r="Z35" s="2">
        <f>IF(Z$12&gt;$A35,IF(Z$12=1,5,MAX($B$5-ROUNDDOWN((SQRT($B$6*(Z$12+$B$8)+$B$7*($A35+$B$9)))/2,0),1)),"")</f>
        <v>1</v>
      </c>
      <c r="AA35" s="2">
        <f>IF(AA$12&gt;$A35,IF(AA$12=1,5,MAX($B$5-ROUNDDOWN((SQRT($B$6*(AA$12+$B$8)+$B$7*($A35+$B$9)))/2,0),1)),"")</f>
        <v>1</v>
      </c>
      <c r="AB35" s="2">
        <f>IF(AB$12&gt;$A35,IF(AB$12=1,5,MAX($B$5-ROUNDDOWN((SQRT($B$6*(AB$12+$B$8)+$B$7*($A35+$B$9)))/2,0),1)),"")</f>
        <v>1</v>
      </c>
    </row>
    <row r="36" spans="1:28" ht="18.75" customHeight="1" x14ac:dyDescent="0.3">
      <c r="A36" s="2">
        <v>23</v>
      </c>
      <c r="B36" s="3" t="str">
        <f>IF(B$12&gt;$A36,IF(B$12=1,5,MAX($B$5-ROUNDDOWN((SQRT($B$6*(B$12+$B$8)+$B$7*($A36+$B$9)))/2,0),1)),"")</f>
        <v/>
      </c>
      <c r="C36" s="3" t="str">
        <f>IF(C$12&gt;$A36,IF(C$12=1,5,MAX($B$5-ROUNDDOWN((SQRT($B$6*(C$12+$B$8)+$B$7*($A36+$B$9)))/2,0),1)),"")</f>
        <v/>
      </c>
      <c r="D36" s="3" t="str">
        <f>IF(D$12&gt;$A36,IF(D$12=1,5,MAX($B$5-ROUNDDOWN((SQRT($B$6*(D$12+$B$8)+$B$7*($A36+$B$9)))/2,0),1)),"")</f>
        <v/>
      </c>
      <c r="E36" s="3" t="str">
        <f>IF(E$12&gt;$A36,IF(E$12=1,5,MAX($B$5-ROUNDDOWN((SQRT($B$6*(E$12+$B$8)+$B$7*($A36+$B$9)))/2,0),1)),"")</f>
        <v/>
      </c>
      <c r="F36" s="3" t="str">
        <f>IF(F$12&gt;$A36,IF(F$12=1,5,MAX($B$5-ROUNDDOWN((SQRT($B$6*(F$12+$B$8)+$B$7*($A36+$B$9)))/2,0),1)),"")</f>
        <v/>
      </c>
      <c r="G36" s="3" t="str">
        <f>IF(G$12&gt;$A36,IF(G$12=1,5,MAX($B$5-ROUNDDOWN((SQRT($B$6*(G$12+$B$8)+$B$7*($A36+$B$9)))/2,0),1)),"")</f>
        <v/>
      </c>
      <c r="H36" s="3" t="str">
        <f>IF(H$12&gt;$A36,IF(H$12=1,5,MAX($B$5-ROUNDDOWN((SQRT($B$6*(H$12+$B$8)+$B$7*($A36+$B$9)))/2,0),1)),"")</f>
        <v/>
      </c>
      <c r="I36" s="3" t="str">
        <f>IF(I$12&gt;$A36,IF(I$12=1,5,MAX($B$5-ROUNDDOWN((SQRT($B$6*(I$12+$B$8)+$B$7*($A36+$B$9)))/2,0),1)),"")</f>
        <v/>
      </c>
      <c r="J36" s="3" t="str">
        <f>IF(J$12&gt;$A36,IF(J$12=1,5,MAX($B$5-ROUNDDOWN((SQRT($B$6*(J$12+$B$8)+$B$7*($A36+$B$9)))/2,0),1)),"")</f>
        <v/>
      </c>
      <c r="K36" s="3" t="str">
        <f>IF(K$12&gt;$A36,IF(K$12=1,5,MAX($B$5-ROUNDDOWN((SQRT($B$6*(K$12+$B$8)+$B$7*($A36+$B$9)))/2,0),1)),"")</f>
        <v/>
      </c>
      <c r="L36" s="3" t="str">
        <f>IF(L$12&gt;$A36,IF(L$12=1,5,MAX($B$5-ROUNDDOWN((SQRT($B$6*(L$12+$B$8)+$B$7*($A36+$B$9)))/2,0),1)),"")</f>
        <v/>
      </c>
      <c r="M36" s="3" t="str">
        <f>IF(M$12&gt;$A36,IF(M$12=1,5,MAX($B$5-ROUNDDOWN((SQRT($B$6*(M$12+$B$8)+$B$7*($A36+$B$9)))/2,0),1)),"")</f>
        <v/>
      </c>
      <c r="N36" s="3" t="str">
        <f>IF(N$12&gt;$A36,IF(N$12=1,5,MAX($B$5-ROUNDDOWN((SQRT($B$6*(N$12+$B$8)+$B$7*($A36+$B$9)))/2,0),1)),"")</f>
        <v/>
      </c>
      <c r="O36" s="3" t="str">
        <f>IF(O$12&gt;$A36,IF(O$12=1,5,MAX($B$5-ROUNDDOWN((SQRT($B$6*(O$12+$B$8)+$B$7*($A36+$B$9)))/2,0),1)),"")</f>
        <v/>
      </c>
      <c r="P36" s="3" t="str">
        <f>IF(P$12&gt;$A36,IF(P$12=1,5,MAX($B$5-ROUNDDOWN((SQRT($B$6*(P$12+$B$8)+$B$7*($A36+$B$9)))/2,0),1)),"")</f>
        <v/>
      </c>
      <c r="Q36" s="3" t="str">
        <f>IF(Q$12&gt;$A36,IF(Q$12=1,5,MAX($B$5-ROUNDDOWN((SQRT($B$6*(Q$12+$B$8)+$B$7*($A36+$B$9)))/2,0),1)),"")</f>
        <v/>
      </c>
      <c r="R36" s="3" t="str">
        <f>IF(R$12&gt;$A36,IF(R$12=1,5,MAX($B$5-ROUNDDOWN((SQRT($B$6*(R$12+$B$8)+$B$7*($A36+$B$9)))/2,0),1)),"")</f>
        <v/>
      </c>
      <c r="S36" s="3" t="str">
        <f>IF(S$12&gt;$A36,IF(S$12=1,5,MAX($B$5-ROUNDDOWN((SQRT($B$6*(S$12+$B$8)+$B$7*($A36+$B$9)))/2,0),1)),"")</f>
        <v/>
      </c>
      <c r="T36" s="3" t="str">
        <f>IF(T$12&gt;$A36,IF(T$12=1,5,MAX($B$5-ROUNDDOWN((SQRT($B$6*(T$12+$B$8)+$B$7*($A36+$B$9)))/2,0),1)),"")</f>
        <v/>
      </c>
      <c r="U36" s="3" t="str">
        <f>IF(U$12&gt;$A36,IF(U$12=1,5,MAX($B$5-ROUNDDOWN((SQRT($B$6*(U$12+$B$8)+$B$7*($A36+$B$9)))/2,0),1)),"")</f>
        <v/>
      </c>
      <c r="V36" s="3" t="str">
        <f>IF(V$12&gt;$A36,IF(V$12=1,5,MAX($B$5-ROUNDDOWN((SQRT($B$6*(V$12+$B$8)+$B$7*($A36+$B$9)))/2,0),1)),"")</f>
        <v/>
      </c>
      <c r="W36" s="3" t="str">
        <f>IF(W$12&gt;$A36,IF(W$12=1,5,MAX($B$5-ROUNDDOWN((SQRT($B$6*(W$12+$B$8)+$B$7*($A36+$B$9)))/2,0),1)),"")</f>
        <v/>
      </c>
      <c r="X36" s="3" t="str">
        <f>IF(X$12&gt;$A36,IF(X$12=1,5,MAX($B$5-ROUNDDOWN((SQRT($B$6*(X$12+$B$8)+$B$7*($A36+$B$9)))/2,0),1)),"")</f>
        <v/>
      </c>
      <c r="Y36" s="2">
        <f>IF(Y$12&gt;$A36,IF(Y$12=1,5,MAX($B$5-ROUNDDOWN((SQRT($B$6*(Y$12+$B$8)+$B$7*($A36+$B$9)))/2,0),1)),"")</f>
        <v>1</v>
      </c>
      <c r="Z36" s="2">
        <f>IF(Z$12&gt;$A36,IF(Z$12=1,5,MAX($B$5-ROUNDDOWN((SQRT($B$6*(Z$12+$B$8)+$B$7*($A36+$B$9)))/2,0),1)),"")</f>
        <v>1</v>
      </c>
      <c r="AA36" s="2">
        <f>IF(AA$12&gt;$A36,IF(AA$12=1,5,MAX($B$5-ROUNDDOWN((SQRT($B$6*(AA$12+$B$8)+$B$7*($A36+$B$9)))/2,0),1)),"")</f>
        <v>1</v>
      </c>
      <c r="AB36" s="2">
        <f>IF(AB$12&gt;$A36,IF(AB$12=1,5,MAX($B$5-ROUNDDOWN((SQRT($B$6*(AB$12+$B$8)+$B$7*($A36+$B$9)))/2,0),1)),"")</f>
        <v>1</v>
      </c>
    </row>
    <row r="37" spans="1:28" ht="18.75" customHeight="1" x14ac:dyDescent="0.3">
      <c r="A37" s="2">
        <v>24</v>
      </c>
      <c r="B37" s="3" t="str">
        <f>IF(B$12&gt;$A37,IF(B$12=1,5,MAX($B$5-ROUNDDOWN((SQRT($B$6*(B$12+$B$8)+$B$7*($A37+$B$9)))/2,0),1)),"")</f>
        <v/>
      </c>
      <c r="C37" s="3" t="str">
        <f>IF(C$12&gt;$A37,IF(C$12=1,5,MAX($B$5-ROUNDDOWN((SQRT($B$6*(C$12+$B$8)+$B$7*($A37+$B$9)))/2,0),1)),"")</f>
        <v/>
      </c>
      <c r="D37" s="3" t="str">
        <f>IF(D$12&gt;$A37,IF(D$12=1,5,MAX($B$5-ROUNDDOWN((SQRT($B$6*(D$12+$B$8)+$B$7*($A37+$B$9)))/2,0),1)),"")</f>
        <v/>
      </c>
      <c r="E37" s="3" t="str">
        <f>IF(E$12&gt;$A37,IF(E$12=1,5,MAX($B$5-ROUNDDOWN((SQRT($B$6*(E$12+$B$8)+$B$7*($A37+$B$9)))/2,0),1)),"")</f>
        <v/>
      </c>
      <c r="F37" s="3" t="str">
        <f>IF(F$12&gt;$A37,IF(F$12=1,5,MAX($B$5-ROUNDDOWN((SQRT($B$6*(F$12+$B$8)+$B$7*($A37+$B$9)))/2,0),1)),"")</f>
        <v/>
      </c>
      <c r="G37" s="3" t="str">
        <f>IF(G$12&gt;$A37,IF(G$12=1,5,MAX($B$5-ROUNDDOWN((SQRT($B$6*(G$12+$B$8)+$B$7*($A37+$B$9)))/2,0),1)),"")</f>
        <v/>
      </c>
      <c r="H37" s="3" t="str">
        <f>IF(H$12&gt;$A37,IF(H$12=1,5,MAX($B$5-ROUNDDOWN((SQRT($B$6*(H$12+$B$8)+$B$7*($A37+$B$9)))/2,0),1)),"")</f>
        <v/>
      </c>
      <c r="I37" s="3" t="str">
        <f>IF(I$12&gt;$A37,IF(I$12=1,5,MAX($B$5-ROUNDDOWN((SQRT($B$6*(I$12+$B$8)+$B$7*($A37+$B$9)))/2,0),1)),"")</f>
        <v/>
      </c>
      <c r="J37" s="3" t="str">
        <f>IF(J$12&gt;$A37,IF(J$12=1,5,MAX($B$5-ROUNDDOWN((SQRT($B$6*(J$12+$B$8)+$B$7*($A37+$B$9)))/2,0),1)),"")</f>
        <v/>
      </c>
      <c r="K37" s="3" t="str">
        <f>IF(K$12&gt;$A37,IF(K$12=1,5,MAX($B$5-ROUNDDOWN((SQRT($B$6*(K$12+$B$8)+$B$7*($A37+$B$9)))/2,0),1)),"")</f>
        <v/>
      </c>
      <c r="L37" s="3" t="str">
        <f>IF(L$12&gt;$A37,IF(L$12=1,5,MAX($B$5-ROUNDDOWN((SQRT($B$6*(L$12+$B$8)+$B$7*($A37+$B$9)))/2,0),1)),"")</f>
        <v/>
      </c>
      <c r="M37" s="3" t="str">
        <f>IF(M$12&gt;$A37,IF(M$12=1,5,MAX($B$5-ROUNDDOWN((SQRT($B$6*(M$12+$B$8)+$B$7*($A37+$B$9)))/2,0),1)),"")</f>
        <v/>
      </c>
      <c r="N37" s="3" t="str">
        <f>IF(N$12&gt;$A37,IF(N$12=1,5,MAX($B$5-ROUNDDOWN((SQRT($B$6*(N$12+$B$8)+$B$7*($A37+$B$9)))/2,0),1)),"")</f>
        <v/>
      </c>
      <c r="O37" s="3" t="str">
        <f>IF(O$12&gt;$A37,IF(O$12=1,5,MAX($B$5-ROUNDDOWN((SQRT($B$6*(O$12+$B$8)+$B$7*($A37+$B$9)))/2,0),1)),"")</f>
        <v/>
      </c>
      <c r="P37" s="3" t="str">
        <f>IF(P$12&gt;$A37,IF(P$12=1,5,MAX($B$5-ROUNDDOWN((SQRT($B$6*(P$12+$B$8)+$B$7*($A37+$B$9)))/2,0),1)),"")</f>
        <v/>
      </c>
      <c r="Q37" s="3" t="str">
        <f>IF(Q$12&gt;$A37,IF(Q$12=1,5,MAX($B$5-ROUNDDOWN((SQRT($B$6*(Q$12+$B$8)+$B$7*($A37+$B$9)))/2,0),1)),"")</f>
        <v/>
      </c>
      <c r="R37" s="3" t="str">
        <f>IF(R$12&gt;$A37,IF(R$12=1,5,MAX($B$5-ROUNDDOWN((SQRT($B$6*(R$12+$B$8)+$B$7*($A37+$B$9)))/2,0),1)),"")</f>
        <v/>
      </c>
      <c r="S37" s="3" t="str">
        <f>IF(S$12&gt;$A37,IF(S$12=1,5,MAX($B$5-ROUNDDOWN((SQRT($B$6*(S$12+$B$8)+$B$7*($A37+$B$9)))/2,0),1)),"")</f>
        <v/>
      </c>
      <c r="T37" s="3" t="str">
        <f>IF(T$12&gt;$A37,IF(T$12=1,5,MAX($B$5-ROUNDDOWN((SQRT($B$6*(T$12+$B$8)+$B$7*($A37+$B$9)))/2,0),1)),"")</f>
        <v/>
      </c>
      <c r="U37" s="3" t="str">
        <f>IF(U$12&gt;$A37,IF(U$12=1,5,MAX($B$5-ROUNDDOWN((SQRT($B$6*(U$12+$B$8)+$B$7*($A37+$B$9)))/2,0),1)),"")</f>
        <v/>
      </c>
      <c r="V37" s="3" t="str">
        <f>IF(V$12&gt;$A37,IF(V$12=1,5,MAX($B$5-ROUNDDOWN((SQRT($B$6*(V$12+$B$8)+$B$7*($A37+$B$9)))/2,0),1)),"")</f>
        <v/>
      </c>
      <c r="W37" s="3" t="str">
        <f>IF(W$12&gt;$A37,IF(W$12=1,5,MAX($B$5-ROUNDDOWN((SQRT($B$6*(W$12+$B$8)+$B$7*($A37+$B$9)))/2,0),1)),"")</f>
        <v/>
      </c>
      <c r="X37" s="3" t="str">
        <f>IF(X$12&gt;$A37,IF(X$12=1,5,MAX($B$5-ROUNDDOWN((SQRT($B$6*(X$12+$B$8)+$B$7*($A37+$B$9)))/2,0),1)),"")</f>
        <v/>
      </c>
      <c r="Y37" s="3" t="str">
        <f>IF(Y$12&gt;$A37,IF(Y$12=1,5,MAX($B$5-ROUNDDOWN((SQRT($B$6*(Y$12+$B$8)+$B$7*($A37+$B$9)))/2,0),1)),"")</f>
        <v/>
      </c>
      <c r="Z37" s="2">
        <f>IF(Z$12&gt;$A37,IF(Z$12=1,5,MAX($B$5-ROUNDDOWN((SQRT($B$6*(Z$12+$B$8)+$B$7*($A37+$B$9)))/2,0),1)),"")</f>
        <v>1</v>
      </c>
      <c r="AA37" s="2">
        <f>IF(AA$12&gt;$A37,IF(AA$12=1,5,MAX($B$5-ROUNDDOWN((SQRT($B$6*(AA$12+$B$8)+$B$7*($A37+$B$9)))/2,0),1)),"")</f>
        <v>1</v>
      </c>
      <c r="AB37" s="2">
        <f>IF(AB$12&gt;$A37,IF(AB$12=1,5,MAX($B$5-ROUNDDOWN((SQRT($B$6*(AB$12+$B$8)+$B$7*($A37+$B$9)))/2,0),1)),"")</f>
        <v>1</v>
      </c>
    </row>
    <row r="38" spans="1:28" ht="18.75" customHeight="1" x14ac:dyDescent="0.3">
      <c r="A38" s="2">
        <v>25</v>
      </c>
      <c r="B38" s="3" t="str">
        <f>IF(B$12&gt;$A38,IF(B$12=1,5,MAX($B$5-ROUNDDOWN((SQRT($B$6*(B$12+$B$8)+$B$7*($A38+$B$9)))/2,0),1)),"")</f>
        <v/>
      </c>
      <c r="C38" s="3" t="str">
        <f>IF(C$12&gt;$A38,IF(C$12=1,5,MAX($B$5-ROUNDDOWN((SQRT($B$6*(C$12+$B$8)+$B$7*($A38+$B$9)))/2,0),1)),"")</f>
        <v/>
      </c>
      <c r="D38" s="3" t="str">
        <f>IF(D$12&gt;$A38,IF(D$12=1,5,MAX($B$5-ROUNDDOWN((SQRT($B$6*(D$12+$B$8)+$B$7*($A38+$B$9)))/2,0),1)),"")</f>
        <v/>
      </c>
      <c r="E38" s="3" t="str">
        <f>IF(E$12&gt;$A38,IF(E$12=1,5,MAX($B$5-ROUNDDOWN((SQRT($B$6*(E$12+$B$8)+$B$7*($A38+$B$9)))/2,0),1)),"")</f>
        <v/>
      </c>
      <c r="F38" s="3" t="str">
        <f>IF(F$12&gt;$A38,IF(F$12=1,5,MAX($B$5-ROUNDDOWN((SQRT($B$6*(F$12+$B$8)+$B$7*($A38+$B$9)))/2,0),1)),"")</f>
        <v/>
      </c>
      <c r="G38" s="3" t="str">
        <f>IF(G$12&gt;$A38,IF(G$12=1,5,MAX($B$5-ROUNDDOWN((SQRT($B$6*(G$12+$B$8)+$B$7*($A38+$B$9)))/2,0),1)),"")</f>
        <v/>
      </c>
      <c r="H38" s="3" t="str">
        <f>IF(H$12&gt;$A38,IF(H$12=1,5,MAX($B$5-ROUNDDOWN((SQRT($B$6*(H$12+$B$8)+$B$7*($A38+$B$9)))/2,0),1)),"")</f>
        <v/>
      </c>
      <c r="I38" s="3" t="str">
        <f>IF(I$12&gt;$A38,IF(I$12=1,5,MAX($B$5-ROUNDDOWN((SQRT($B$6*(I$12+$B$8)+$B$7*($A38+$B$9)))/2,0),1)),"")</f>
        <v/>
      </c>
      <c r="J38" s="3" t="str">
        <f>IF(J$12&gt;$A38,IF(J$12=1,5,MAX($B$5-ROUNDDOWN((SQRT($B$6*(J$12+$B$8)+$B$7*($A38+$B$9)))/2,0),1)),"")</f>
        <v/>
      </c>
      <c r="K38" s="3" t="str">
        <f>IF(K$12&gt;$A38,IF(K$12=1,5,MAX($B$5-ROUNDDOWN((SQRT($B$6*(K$12+$B$8)+$B$7*($A38+$B$9)))/2,0),1)),"")</f>
        <v/>
      </c>
      <c r="L38" s="3" t="str">
        <f>IF(L$12&gt;$A38,IF(L$12=1,5,MAX($B$5-ROUNDDOWN((SQRT($B$6*(L$12+$B$8)+$B$7*($A38+$B$9)))/2,0),1)),"")</f>
        <v/>
      </c>
      <c r="M38" s="3" t="str">
        <f>IF(M$12&gt;$A38,IF(M$12=1,5,MAX($B$5-ROUNDDOWN((SQRT($B$6*(M$12+$B$8)+$B$7*($A38+$B$9)))/2,0),1)),"")</f>
        <v/>
      </c>
      <c r="N38" s="3" t="str">
        <f>IF(N$12&gt;$A38,IF(N$12=1,5,MAX($B$5-ROUNDDOWN((SQRT($B$6*(N$12+$B$8)+$B$7*($A38+$B$9)))/2,0),1)),"")</f>
        <v/>
      </c>
      <c r="O38" s="3" t="str">
        <f>IF(O$12&gt;$A38,IF(O$12=1,5,MAX($B$5-ROUNDDOWN((SQRT($B$6*(O$12+$B$8)+$B$7*($A38+$B$9)))/2,0),1)),"")</f>
        <v/>
      </c>
      <c r="P38" s="3" t="str">
        <f>IF(P$12&gt;$A38,IF(P$12=1,5,MAX($B$5-ROUNDDOWN((SQRT($B$6*(P$12+$B$8)+$B$7*($A38+$B$9)))/2,0),1)),"")</f>
        <v/>
      </c>
      <c r="Q38" s="3" t="str">
        <f>IF(Q$12&gt;$A38,IF(Q$12=1,5,MAX($B$5-ROUNDDOWN((SQRT($B$6*(Q$12+$B$8)+$B$7*($A38+$B$9)))/2,0),1)),"")</f>
        <v/>
      </c>
      <c r="R38" s="3" t="str">
        <f>IF(R$12&gt;$A38,IF(R$12=1,5,MAX($B$5-ROUNDDOWN((SQRT($B$6*(R$12+$B$8)+$B$7*($A38+$B$9)))/2,0),1)),"")</f>
        <v/>
      </c>
      <c r="S38" s="3" t="str">
        <f>IF(S$12&gt;$A38,IF(S$12=1,5,MAX($B$5-ROUNDDOWN((SQRT($B$6*(S$12+$B$8)+$B$7*($A38+$B$9)))/2,0),1)),"")</f>
        <v/>
      </c>
      <c r="T38" s="3" t="str">
        <f>IF(T$12&gt;$A38,IF(T$12=1,5,MAX($B$5-ROUNDDOWN((SQRT($B$6*(T$12+$B$8)+$B$7*($A38+$B$9)))/2,0),1)),"")</f>
        <v/>
      </c>
      <c r="U38" s="3" t="str">
        <f>IF(U$12&gt;$A38,IF(U$12=1,5,MAX($B$5-ROUNDDOWN((SQRT($B$6*(U$12+$B$8)+$B$7*($A38+$B$9)))/2,0),1)),"")</f>
        <v/>
      </c>
      <c r="V38" s="3" t="str">
        <f>IF(V$12&gt;$A38,IF(V$12=1,5,MAX($B$5-ROUNDDOWN((SQRT($B$6*(V$12+$B$8)+$B$7*($A38+$B$9)))/2,0),1)),"")</f>
        <v/>
      </c>
      <c r="W38" s="3" t="str">
        <f>IF(W$12&gt;$A38,IF(W$12=1,5,MAX($B$5-ROUNDDOWN((SQRT($B$6*(W$12+$B$8)+$B$7*($A38+$B$9)))/2,0),1)),"")</f>
        <v/>
      </c>
      <c r="X38" s="3" t="str">
        <f>IF(X$12&gt;$A38,IF(X$12=1,5,MAX($B$5-ROUNDDOWN((SQRT($B$6*(X$12+$B$8)+$B$7*($A38+$B$9)))/2,0),1)),"")</f>
        <v/>
      </c>
      <c r="Y38" s="3" t="str">
        <f>IF(Y$12&gt;$A38,IF(Y$12=1,5,MAX($B$5-ROUNDDOWN((SQRT($B$6*(Y$12+$B$8)+$B$7*($A38+$B$9)))/2,0),1)),"")</f>
        <v/>
      </c>
      <c r="Z38" s="3" t="str">
        <f>IF(Z$12&gt;$A38,IF(Z$12=1,5,MAX($B$5-ROUNDDOWN((SQRT($B$6*(Z$12+$B$8)+$B$7*($A38+$B$9)))/2,0),1)),"")</f>
        <v/>
      </c>
      <c r="AA38" s="2">
        <f>IF(AA$12&gt;$A38,IF(AA$12=1,5,MAX($B$5-ROUNDDOWN((SQRT($B$6*(AA$12+$B$8)+$B$7*($A38+$B$9)))/2,0),1)),"")</f>
        <v>1</v>
      </c>
      <c r="AB38" s="2">
        <f>IF(AB$12&gt;$A38,IF(AB$12=1,5,MAX($B$5-ROUNDDOWN((SQRT($B$6*(AB$12+$B$8)+$B$7*($A38+$B$9)))/2,0),1)),"")</f>
        <v>1</v>
      </c>
    </row>
    <row r="39" spans="1:28" ht="18.75" customHeight="1" x14ac:dyDescent="0.3">
      <c r="A39" s="2">
        <v>26</v>
      </c>
      <c r="B39" s="3" t="str">
        <f>IF(B$12&gt;$A39,IF(B$12=1,5,MAX($B$5-ROUNDDOWN((SQRT($B$6*(B$12+$B$8)+$B$7*($A39+$B$9)))/2,0),1)),"")</f>
        <v/>
      </c>
      <c r="C39" s="3" t="str">
        <f>IF(C$12&gt;$A39,IF(C$12=1,5,MAX($B$5-ROUNDDOWN((SQRT($B$6*(C$12+$B$8)+$B$7*($A39+$B$9)))/2,0),1)),"")</f>
        <v/>
      </c>
      <c r="D39" s="3" t="str">
        <f>IF(D$12&gt;$A39,IF(D$12=1,5,MAX($B$5-ROUNDDOWN((SQRT($B$6*(D$12+$B$8)+$B$7*($A39+$B$9)))/2,0),1)),"")</f>
        <v/>
      </c>
      <c r="E39" s="3" t="str">
        <f>IF(E$12&gt;$A39,IF(E$12=1,5,MAX($B$5-ROUNDDOWN((SQRT($B$6*(E$12+$B$8)+$B$7*($A39+$B$9)))/2,0),1)),"")</f>
        <v/>
      </c>
      <c r="F39" s="3" t="str">
        <f>IF(F$12&gt;$A39,IF(F$12=1,5,MAX($B$5-ROUNDDOWN((SQRT($B$6*(F$12+$B$8)+$B$7*($A39+$B$9)))/2,0),1)),"")</f>
        <v/>
      </c>
      <c r="G39" s="3" t="str">
        <f>IF(G$12&gt;$A39,IF(G$12=1,5,MAX($B$5-ROUNDDOWN((SQRT($B$6*(G$12+$B$8)+$B$7*($A39+$B$9)))/2,0),1)),"")</f>
        <v/>
      </c>
      <c r="H39" s="3" t="str">
        <f>IF(H$12&gt;$A39,IF(H$12=1,5,MAX($B$5-ROUNDDOWN((SQRT($B$6*(H$12+$B$8)+$B$7*($A39+$B$9)))/2,0),1)),"")</f>
        <v/>
      </c>
      <c r="I39" s="3" t="str">
        <f>IF(I$12&gt;$A39,IF(I$12=1,5,MAX($B$5-ROUNDDOWN((SQRT($B$6*(I$12+$B$8)+$B$7*($A39+$B$9)))/2,0),1)),"")</f>
        <v/>
      </c>
      <c r="J39" s="3" t="str">
        <f>IF(J$12&gt;$A39,IF(J$12=1,5,MAX($B$5-ROUNDDOWN((SQRT($B$6*(J$12+$B$8)+$B$7*($A39+$B$9)))/2,0),1)),"")</f>
        <v/>
      </c>
      <c r="K39" s="3" t="str">
        <f>IF(K$12&gt;$A39,IF(K$12=1,5,MAX($B$5-ROUNDDOWN((SQRT($B$6*(K$12+$B$8)+$B$7*($A39+$B$9)))/2,0),1)),"")</f>
        <v/>
      </c>
      <c r="L39" s="3" t="str">
        <f>IF(L$12&gt;$A39,IF(L$12=1,5,MAX($B$5-ROUNDDOWN((SQRT($B$6*(L$12+$B$8)+$B$7*($A39+$B$9)))/2,0),1)),"")</f>
        <v/>
      </c>
      <c r="M39" s="3" t="str">
        <f>IF(M$12&gt;$A39,IF(M$12=1,5,MAX($B$5-ROUNDDOWN((SQRT($B$6*(M$12+$B$8)+$B$7*($A39+$B$9)))/2,0),1)),"")</f>
        <v/>
      </c>
      <c r="N39" s="3" t="str">
        <f>IF(N$12&gt;$A39,IF(N$12=1,5,MAX($B$5-ROUNDDOWN((SQRT($B$6*(N$12+$B$8)+$B$7*($A39+$B$9)))/2,0),1)),"")</f>
        <v/>
      </c>
      <c r="O39" s="3" t="str">
        <f>IF(O$12&gt;$A39,IF(O$12=1,5,MAX($B$5-ROUNDDOWN((SQRT($B$6*(O$12+$B$8)+$B$7*($A39+$B$9)))/2,0),1)),"")</f>
        <v/>
      </c>
      <c r="P39" s="3" t="str">
        <f>IF(P$12&gt;$A39,IF(P$12=1,5,MAX($B$5-ROUNDDOWN((SQRT($B$6*(P$12+$B$8)+$B$7*($A39+$B$9)))/2,0),1)),"")</f>
        <v/>
      </c>
      <c r="Q39" s="3" t="str">
        <f>IF(Q$12&gt;$A39,IF(Q$12=1,5,MAX($B$5-ROUNDDOWN((SQRT($B$6*(Q$12+$B$8)+$B$7*($A39+$B$9)))/2,0),1)),"")</f>
        <v/>
      </c>
      <c r="R39" s="3" t="str">
        <f>IF(R$12&gt;$A39,IF(R$12=1,5,MAX($B$5-ROUNDDOWN((SQRT($B$6*(R$12+$B$8)+$B$7*($A39+$B$9)))/2,0),1)),"")</f>
        <v/>
      </c>
      <c r="S39" s="3" t="str">
        <f>IF(S$12&gt;$A39,IF(S$12=1,5,MAX($B$5-ROUNDDOWN((SQRT($B$6*(S$12+$B$8)+$B$7*($A39+$B$9)))/2,0),1)),"")</f>
        <v/>
      </c>
      <c r="T39" s="3" t="str">
        <f>IF(T$12&gt;$A39,IF(T$12=1,5,MAX($B$5-ROUNDDOWN((SQRT($B$6*(T$12+$B$8)+$B$7*($A39+$B$9)))/2,0),1)),"")</f>
        <v/>
      </c>
      <c r="U39" s="3" t="str">
        <f>IF(U$12&gt;$A39,IF(U$12=1,5,MAX($B$5-ROUNDDOWN((SQRT($B$6*(U$12+$B$8)+$B$7*($A39+$B$9)))/2,0),1)),"")</f>
        <v/>
      </c>
      <c r="V39" s="3" t="str">
        <f>IF(V$12&gt;$A39,IF(V$12=1,5,MAX($B$5-ROUNDDOWN((SQRT($B$6*(V$12+$B$8)+$B$7*($A39+$B$9)))/2,0),1)),"")</f>
        <v/>
      </c>
      <c r="W39" s="3" t="str">
        <f>IF(W$12&gt;$A39,IF(W$12=1,5,MAX($B$5-ROUNDDOWN((SQRT($B$6*(W$12+$B$8)+$B$7*($A39+$B$9)))/2,0),1)),"")</f>
        <v/>
      </c>
      <c r="X39" s="3" t="str">
        <f>IF(X$12&gt;$A39,IF(X$12=1,5,MAX($B$5-ROUNDDOWN((SQRT($B$6*(X$12+$B$8)+$B$7*($A39+$B$9)))/2,0),1)),"")</f>
        <v/>
      </c>
      <c r="Y39" s="3" t="str">
        <f>IF(Y$12&gt;$A39,IF(Y$12=1,5,MAX($B$5-ROUNDDOWN((SQRT($B$6*(Y$12+$B$8)+$B$7*($A39+$B$9)))/2,0),1)),"")</f>
        <v/>
      </c>
      <c r="Z39" s="3" t="str">
        <f>IF(Z$12&gt;$A39,IF(Z$12=1,5,MAX($B$5-ROUNDDOWN((SQRT($B$6*(Z$12+$B$8)+$B$7*($A39+$B$9)))/2,0),1)),"")</f>
        <v/>
      </c>
      <c r="AA39" s="3" t="str">
        <f>IF(AA$12&gt;$A39,IF(AA$12=1,5,MAX($B$5-ROUNDDOWN((SQRT($B$6*(AA$12+$B$8)+$B$7*($A39+$B$9)))/2,0),1)),"")</f>
        <v/>
      </c>
      <c r="AB39" s="2">
        <f>IF(AB$12&gt;$A39,IF(AB$12=1,5,MAX($B$5-ROUNDDOWN((SQRT($B$6*(AB$12+$B$8)+$B$7*($A39+$B$9)))/2,0),1)),"")</f>
        <v>1</v>
      </c>
    </row>
    <row r="40" spans="1:28" ht="18.75" customHeight="1" x14ac:dyDescent="0.3">
      <c r="A40" s="2">
        <v>27</v>
      </c>
      <c r="B40" s="3" t="str">
        <f>IF(B$12&gt;$A40,IF(B$12=1,5,MAX($B$5-ROUNDDOWN((SQRT($B$6*(B$12+$B$8)+$B$7*($A40+$B$9)))/2,0),1)),"")</f>
        <v/>
      </c>
      <c r="C40" s="3" t="str">
        <f>IF(C$12&gt;$A40,IF(C$12=1,5,MAX($B$5-ROUNDDOWN((SQRT($B$6*(C$12+$B$8)+$B$7*($A40+$B$9)))/2,0),1)),"")</f>
        <v/>
      </c>
      <c r="D40" s="3" t="str">
        <f>IF(D$12&gt;$A40,IF(D$12=1,5,MAX($B$5-ROUNDDOWN((SQRT($B$6*(D$12+$B$8)+$B$7*($A40+$B$9)))/2,0),1)),"")</f>
        <v/>
      </c>
      <c r="E40" s="3" t="str">
        <f>IF(E$12&gt;$A40,IF(E$12=1,5,MAX($B$5-ROUNDDOWN((SQRT($B$6*(E$12+$B$8)+$B$7*($A40+$B$9)))/2,0),1)),"")</f>
        <v/>
      </c>
      <c r="F40" s="3" t="str">
        <f>IF(F$12&gt;$A40,IF(F$12=1,5,MAX($B$5-ROUNDDOWN((SQRT($B$6*(F$12+$B$8)+$B$7*($A40+$B$9)))/2,0),1)),"")</f>
        <v/>
      </c>
      <c r="G40" s="3" t="str">
        <f>IF(G$12&gt;$A40,IF(G$12=1,5,MAX($B$5-ROUNDDOWN((SQRT($B$6*(G$12+$B$8)+$B$7*($A40+$B$9)))/2,0),1)),"")</f>
        <v/>
      </c>
      <c r="H40" s="3" t="str">
        <f>IF(H$12&gt;$A40,IF(H$12=1,5,MAX($B$5-ROUNDDOWN((SQRT($B$6*(H$12+$B$8)+$B$7*($A40+$B$9)))/2,0),1)),"")</f>
        <v/>
      </c>
      <c r="I40" s="3" t="str">
        <f>IF(I$12&gt;$A40,IF(I$12=1,5,MAX($B$5-ROUNDDOWN((SQRT($B$6*(I$12+$B$8)+$B$7*($A40+$B$9)))/2,0),1)),"")</f>
        <v/>
      </c>
      <c r="J40" s="3" t="str">
        <f>IF(J$12&gt;$A40,IF(J$12=1,5,MAX($B$5-ROUNDDOWN((SQRT($B$6*(J$12+$B$8)+$B$7*($A40+$B$9)))/2,0),1)),"")</f>
        <v/>
      </c>
      <c r="K40" s="3" t="str">
        <f>IF(K$12&gt;$A40,IF(K$12=1,5,MAX($B$5-ROUNDDOWN((SQRT($B$6*(K$12+$B$8)+$B$7*($A40+$B$9)))/2,0),1)),"")</f>
        <v/>
      </c>
      <c r="L40" s="3" t="str">
        <f>IF(L$12&gt;$A40,IF(L$12=1,5,MAX($B$5-ROUNDDOWN((SQRT($B$6*(L$12+$B$8)+$B$7*($A40+$B$9)))/2,0),1)),"")</f>
        <v/>
      </c>
      <c r="M40" s="3" t="str">
        <f>IF(M$12&gt;$A40,IF(M$12=1,5,MAX($B$5-ROUNDDOWN((SQRT($B$6*(M$12+$B$8)+$B$7*($A40+$B$9)))/2,0),1)),"")</f>
        <v/>
      </c>
      <c r="N40" s="3" t="str">
        <f>IF(N$12&gt;$A40,IF(N$12=1,5,MAX($B$5-ROUNDDOWN((SQRT($B$6*(N$12+$B$8)+$B$7*($A40+$B$9)))/2,0),1)),"")</f>
        <v/>
      </c>
      <c r="O40" s="3" t="str">
        <f>IF(O$12&gt;$A40,IF(O$12=1,5,MAX($B$5-ROUNDDOWN((SQRT($B$6*(O$12+$B$8)+$B$7*($A40+$B$9)))/2,0),1)),"")</f>
        <v/>
      </c>
      <c r="P40" s="3" t="str">
        <f>IF(P$12&gt;$A40,IF(P$12=1,5,MAX($B$5-ROUNDDOWN((SQRT($B$6*(P$12+$B$8)+$B$7*($A40+$B$9)))/2,0),1)),"")</f>
        <v/>
      </c>
      <c r="Q40" s="3" t="str">
        <f>IF(Q$12&gt;$A40,IF(Q$12=1,5,MAX($B$5-ROUNDDOWN((SQRT($B$6*(Q$12+$B$8)+$B$7*($A40+$B$9)))/2,0),1)),"")</f>
        <v/>
      </c>
      <c r="R40" s="3" t="str">
        <f>IF(R$12&gt;$A40,IF(R$12=1,5,MAX($B$5-ROUNDDOWN((SQRT($B$6*(R$12+$B$8)+$B$7*($A40+$B$9)))/2,0),1)),"")</f>
        <v/>
      </c>
      <c r="S40" s="3" t="str">
        <f>IF(S$12&gt;$A40,IF(S$12=1,5,MAX($B$5-ROUNDDOWN((SQRT($B$6*(S$12+$B$8)+$B$7*($A40+$B$9)))/2,0),1)),"")</f>
        <v/>
      </c>
      <c r="T40" s="3" t="str">
        <f>IF(T$12&gt;$A40,IF(T$12=1,5,MAX($B$5-ROUNDDOWN((SQRT($B$6*(T$12+$B$8)+$B$7*($A40+$B$9)))/2,0),1)),"")</f>
        <v/>
      </c>
      <c r="U40" s="3" t="str">
        <f>IF(U$12&gt;$A40,IF(U$12=1,5,MAX($B$5-ROUNDDOWN((SQRT($B$6*(U$12+$B$8)+$B$7*($A40+$B$9)))/2,0),1)),"")</f>
        <v/>
      </c>
      <c r="V40" s="3" t="str">
        <f>IF(V$12&gt;$A40,IF(V$12=1,5,MAX($B$5-ROUNDDOWN((SQRT($B$6*(V$12+$B$8)+$B$7*($A40+$B$9)))/2,0),1)),"")</f>
        <v/>
      </c>
      <c r="W40" s="3" t="str">
        <f>IF(W$12&gt;$A40,IF(W$12=1,5,MAX($B$5-ROUNDDOWN((SQRT($B$6*(W$12+$B$8)+$B$7*($A40+$B$9)))/2,0),1)),"")</f>
        <v/>
      </c>
      <c r="X40" s="3" t="str">
        <f>IF(X$12&gt;$A40,IF(X$12=1,5,MAX($B$5-ROUNDDOWN((SQRT($B$6*(X$12+$B$8)+$B$7*($A40+$B$9)))/2,0),1)),"")</f>
        <v/>
      </c>
      <c r="Y40" s="3" t="str">
        <f>IF(Y$12&gt;$A40,IF(Y$12=1,5,MAX($B$5-ROUNDDOWN((SQRT($B$6*(Y$12+$B$8)+$B$7*($A40+$B$9)))/2,0),1)),"")</f>
        <v/>
      </c>
      <c r="Z40" s="3" t="str">
        <f>IF(Z$12&gt;$A40,IF(Z$12=1,5,MAX($B$5-ROUNDDOWN((SQRT($B$6*(Z$12+$B$8)+$B$7*($A40+$B$9)))/2,0),1)),"")</f>
        <v/>
      </c>
      <c r="AA40" s="3" t="str">
        <f>IF(AA$12&gt;$A40,IF(AA$12=1,5,MAX($B$5-ROUNDDOWN((SQRT($B$6*(AA$12+$B$8)+$B$7*($A40+$B$9)))/2,0),1)),"")</f>
        <v/>
      </c>
      <c r="AB40" s="3" t="str">
        <f>IF(AB$12&gt;$A40,IF(AB$12=1,5,MAX($B$5-ROUNDDOWN((SQRT($B$6*(AB$12+$B$8)+$B$7*($A40+$B$9)))/2,0),1)),"")</f>
        <v/>
      </c>
    </row>
    <row r="44" spans="1:28" x14ac:dyDescent="0.3">
      <c r="A44" s="1">
        <v>1</v>
      </c>
      <c r="B44" s="3">
        <f>ROUNDUP(A44*2/3,0)</f>
        <v>1</v>
      </c>
    </row>
    <row r="45" spans="1:28" x14ac:dyDescent="0.3">
      <c r="A45" s="1">
        <v>2</v>
      </c>
      <c r="B45" s="3">
        <f t="shared" ref="B45:B51" si="2">ROUNDUP(A45*2/3,0)</f>
        <v>2</v>
      </c>
    </row>
    <row r="46" spans="1:28" x14ac:dyDescent="0.3">
      <c r="A46" s="1">
        <v>3</v>
      </c>
      <c r="B46" s="3">
        <f t="shared" si="2"/>
        <v>2</v>
      </c>
    </row>
    <row r="47" spans="1:28" x14ac:dyDescent="0.3">
      <c r="A47" s="1">
        <v>4</v>
      </c>
      <c r="B47" s="3">
        <f t="shared" si="2"/>
        <v>3</v>
      </c>
    </row>
    <row r="48" spans="1:28" x14ac:dyDescent="0.3">
      <c r="A48" s="1">
        <v>5</v>
      </c>
      <c r="B48" s="3">
        <f t="shared" si="2"/>
        <v>4</v>
      </c>
    </row>
    <row r="49" spans="1:2" x14ac:dyDescent="0.3">
      <c r="A49" s="1">
        <v>6</v>
      </c>
      <c r="B49" s="3">
        <f t="shared" si="2"/>
        <v>4</v>
      </c>
    </row>
    <row r="50" spans="1:2" x14ac:dyDescent="0.3">
      <c r="A50" s="1">
        <v>7</v>
      </c>
      <c r="B50" s="3">
        <f t="shared" si="2"/>
        <v>5</v>
      </c>
    </row>
    <row r="51" spans="1:2" x14ac:dyDescent="0.3">
      <c r="A51" s="1">
        <v>8</v>
      </c>
      <c r="B51" s="3">
        <f t="shared" si="2"/>
        <v>6</v>
      </c>
    </row>
  </sheetData>
  <conditionalFormatting sqref="C3:AB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J. Nussbaumer</cp:lastModifiedBy>
  <dcterms:created xsi:type="dcterms:W3CDTF">2025-12-06T06:57:25Z</dcterms:created>
  <dcterms:modified xsi:type="dcterms:W3CDTF">2025-12-06T17:37:57Z</dcterms:modified>
</cp:coreProperties>
</file>
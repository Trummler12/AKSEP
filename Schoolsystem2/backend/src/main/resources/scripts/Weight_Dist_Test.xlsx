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theme+xml" PartName="/xl/theme/theme1.xml"/>
  <Override ContentType="application/vnd.openxmlformats-officedocument.spreadsheetml.styles+xml" PartName="/xl/styles.xml"/>
  <Override ContentType="application/vnd.openxmlformats-officedocument.spreadsheetml.sharedStrings+xml" PartName="/xl/sharedStrings.xml"/>
  <Override ContentType="application/vnd.openxmlformats-package.core-properties+xml" PartName="/docProps/core.xml"/>
  <Override ContentType="application/vnd.openxmlformats-officedocument.extended-properties+xml" PartName="/docProps/app.xml"/>
</Types>
</file>

<file path=_rels/.rels><?xml version="1.0" encoding="UTF-8" standalone="yes"?><Relationships xmlns="http://schemas.openxmlformats.org/package/2006/relationships"><Relationship Target="docProps/app.xml" Type="http://schemas.openxmlformats.org/officeDocument/2006/relationships/extended-properties" Id="rId3"/><Relationship Target="docProps/core.xml" Type="http://schemas.openxmlformats.org/package/2006/relationships/metadata/core-properties" Id="rId2"/><Relationship Target="xl/workbook.xml" Type="http://schemas.openxmlformats.org/officeDocument/2006/relationships/officeDocument" Id="rId1"/></Relationships>
</file>

<file path=xl/workbook.xml><?xml version="1.0" encoding="utf-8"?>
<workbook xmlns="http://schemas.openxmlformats.org/spreadsheetml/2006/main" xmlns:r="http://schemas.openxmlformats.org/officeDocument/2006/relationships">
  <fileVersion rupBuild="9303" lowestEdited="5" lastEdited="5" appName="xl"/>
  <workbookPr/>
  <bookViews>
    <workbookView xWindow="480" yWindow="60" windowWidth="18195" windowHeight="8505" activeTab="0"/>
  </bookViews>
  <sheets>
    <sheet r:id="rId1" sheetId="1" name="Tabelle1"/>
  </sheets>
  <calcPr fullCalcOnLoad="1"/>
</workbook>
</file>

<file path=xl/sharedStrings.xml><?xml version="1.0" encoding="utf-8"?>
<sst xmlns="http://schemas.openxmlformats.org/spreadsheetml/2006/main" count="8" uniqueCount="8">
  <si>
    <t>SUMME</t>
  </si>
  <si>
    <t>DIFF</t>
  </si>
  <si>
    <t>minuend</t>
  </si>
  <si>
    <t>f_size</t>
  </si>
  <si>
    <t>f_index</t>
  </si>
  <si>
    <t>size_shift</t>
  </si>
  <si>
    <t>index_shift</t>
  </si>
  <si>
    <t>index\Size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</si>
</sst>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 mc:Ignorable="x14ac">
  <numFmts count="0"/>
  <fonts count="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6">
    <xf xfId="0" numFmtId="0" borderId="0" fontId="0" fillId="0"/>
    <xf xfId="0" numFmtId="3" applyNumberFormat="1" borderId="0" fontId="0" fillId="0" applyAlignment="1">
      <alignment horizontal="right"/>
    </xf>
    <xf xfId="0" numFmtId="3" applyNumberFormat="1" borderId="1" applyBorder="1" fontId="1" applyFont="1" fillId="0" applyAlignment="1">
      <alignment horizontal="right"/>
    </xf>
    <xf xfId="0" numFmtId="3" applyNumberFormat="1" borderId="0" fontId="0" fillId="0" applyAlignment="1">
      <alignment horizontal="general"/>
    </xf>
    <xf xfId="0" numFmtId="3" applyNumberFormat="1" borderId="0" fontId="0" fillId="0" applyAlignment="1">
      <alignment horizontal="right"/>
    </xf>
    <xf xfId="0" numFmtId="3" applyNumberFormat="1" borderId="0" fontId="0" fillId="0" applyAlignment="1">
      <alignment horizontal="general"/>
    </xf>
  </cellXfs>
  <cellStyles count="1">
    <cellStyle xfId="0" builtinId="0" name="Normal"/>
  </cellStyles>
  <dxfs count="0"/>
  <tableStyles count="0" defaultTableStyle="TableStyleMedium9" defaultPivotStyle="PivotStyleLight16"/>
  <extLst>
    <ext uri="{EB79DEF2-80B8-43e5-95BD-54CBDDF9020C}">
      <x14ac:slicerStyles xmlns:x14="http://schemas.microsoft.com/office/spreadsheetml/2009/9/main" defaultSlicerStyle="SlicerStyleLight1"/>
    </ext>
  </extLst>
</styleSheet>
</file>

<file path=xl/_rels/workbook.xml.rels><?xml version="1.0" encoding="UTF-8" standalone="yes"?><Relationships xmlns="http://schemas.openxmlformats.org/package/2006/relationships"><Relationship Target="worksheets/sheet1.xml" Type="http://schemas.openxmlformats.org/officeDocument/2006/relationships/worksheet" Id="rId1"/><Relationship Target="sharedStrings.xml" Type="http://schemas.openxmlformats.org/officeDocument/2006/relationships/sharedStrings" Id="rId2"/><Relationship Target="styles.xml" Type="http://schemas.openxmlformats.org/officeDocument/2006/relationships/styles" Id="rId3"/><Relationship Target="theme/theme1.xml" Type="http://schemas.openxmlformats.org/officeDocument/2006/relationships/theme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AB40"/>
  <sheetViews>
    <sheetView workbookViewId="0" tabSelected="1"/>
  </sheetViews>
  <sheetFormatPr defaultRowHeight="15" x14ac:dyDescent="0.25"/>
  <cols>
    <col min="1" max="1" style="4" width="11.43357142857143" customWidth="1" bestFit="1"/>
    <col min="2" max="2" style="5" width="3.862142857142857" customWidth="1" bestFit="1"/>
    <col min="3" max="3" style="5" width="2.1478571428571427" customWidth="1" bestFit="1"/>
    <col min="4" max="4" style="5" width="2.1478571428571427" customWidth="1" bestFit="1"/>
    <col min="5" max="5" style="5" width="3.1478571428571427" customWidth="1" bestFit="1"/>
    <col min="6" max="6" style="5" width="3.1478571428571427" customWidth="1" bestFit="1"/>
    <col min="7" max="7" style="5" width="3.1478571428571427" customWidth="1" bestFit="1"/>
    <col min="8" max="8" style="5" width="3.1478571428571427" customWidth="1" bestFit="1"/>
    <col min="9" max="9" style="5" width="3.1478571428571427" customWidth="1" bestFit="1"/>
    <col min="10" max="10" style="5" width="3.1478571428571427" customWidth="1" bestFit="1"/>
    <col min="11" max="11" style="5" width="3.1478571428571427" customWidth="1" bestFit="1"/>
    <col min="12" max="12" style="5" width="3.1478571428571427" customWidth="1" bestFit="1"/>
    <col min="13" max="13" style="5" width="3.1478571428571427" customWidth="1" bestFit="1"/>
    <col min="14" max="14" style="5" width="3.1478571428571427" customWidth="1" bestFit="1"/>
    <col min="15" max="15" style="5" width="3.1478571428571427" customWidth="1" bestFit="1"/>
    <col min="16" max="16" style="5" width="3.1478571428571427" customWidth="1" bestFit="1"/>
    <col min="17" max="17" style="5" width="3.1478571428571427" customWidth="1" bestFit="1"/>
    <col min="18" max="18" style="5" width="3.1478571428571427" customWidth="1" bestFit="1"/>
    <col min="19" max="19" style="5" width="3.1478571428571427" customWidth="1" bestFit="1"/>
    <col min="20" max="20" style="5" width="3.1478571428571427" customWidth="1" bestFit="1"/>
    <col min="21" max="21" style="5" width="3.1478571428571427" customWidth="1" bestFit="1"/>
    <col min="22" max="22" style="5" width="3.1478571428571427" customWidth="1" bestFit="1"/>
    <col min="23" max="23" style="5" width="3.1478571428571427" customWidth="1" bestFit="1"/>
    <col min="24" max="24" style="5" width="3.1478571428571427" customWidth="1" bestFit="1"/>
    <col min="25" max="25" style="5" width="3.1478571428571427" customWidth="1" bestFit="1"/>
    <col min="26" max="26" style="5" width="3.1478571428571427" customWidth="1" bestFit="1"/>
    <col min="27" max="27" style="5" width="3.1478571428571427" customWidth="1" bestFit="1"/>
    <col min="28" max="28" style="5" width="3.1478571428571427" customWidth="1" bestFit="1"/>
  </cols>
  <sheetData>
    <row x14ac:dyDescent="0.25" r="1" customHeight="1" ht="18.75">
      <c r="A1" s="1" t="s">
        <v>0</v>
      </c>
      <c r="B1" s="2">
        <f>SUM(B13:B999)</f>
      </c>
      <c r="C1" s="2">
        <f>SUM(C13:C999)</f>
      </c>
      <c r="D1" s="2">
        <f>SUM(D13:D999)</f>
      </c>
      <c r="E1" s="2">
        <f>SUM(E13:E999)</f>
      </c>
      <c r="F1" s="2">
        <f>SUM(F13:F999)</f>
      </c>
      <c r="G1" s="2">
        <f>SUM(G13:G999)</f>
      </c>
      <c r="H1" s="2">
        <f>SUM(H13:H999)</f>
      </c>
      <c r="I1" s="2">
        <f>SUM(I13:I999)</f>
      </c>
      <c r="J1" s="2">
        <f>SUM(J13:J999)</f>
      </c>
      <c r="K1" s="2">
        <f>SUM(K13:K999)</f>
      </c>
      <c r="L1" s="2">
        <f>SUM(L13:L999)</f>
      </c>
      <c r="M1" s="2">
        <f>SUM(M13:M999)</f>
      </c>
      <c r="N1" s="2">
        <f>SUM(N13:N999)</f>
      </c>
      <c r="O1" s="2">
        <f>SUM(O13:O999)</f>
      </c>
      <c r="P1" s="2">
        <f>SUM(P13:P999)</f>
      </c>
      <c r="Q1" s="2">
        <f>SUM(Q13:Q999)</f>
      </c>
      <c r="R1" s="2">
        <f>SUM(R13:R999)</f>
      </c>
      <c r="S1" s="2">
        <f>SUM(S13:S999)</f>
      </c>
      <c r="T1" s="2">
        <f>SUM(T13:T999)</f>
      </c>
      <c r="U1" s="2">
        <f>SUM(U13:U999)</f>
      </c>
      <c r="V1" s="2">
        <f>SUM(V13:V999)</f>
      </c>
      <c r="W1" s="2">
        <f>SUM(W13:W999)</f>
      </c>
      <c r="X1" s="2">
        <f>SUM(X13:X999)</f>
      </c>
      <c r="Y1" s="2">
        <f>SUM(Y13:Y999)</f>
      </c>
      <c r="Z1" s="2">
        <f>SUM(Z13:Z999)</f>
      </c>
      <c r="AA1" s="2">
        <f>SUM(AA13:AA999)</f>
      </c>
      <c r="AB1" s="2">
        <f>SUM(AB13:AB999)</f>
      </c>
    </row>
    <row x14ac:dyDescent="0.25" r="2" customHeight="1" ht="18.75">
      <c r="A2" s="1" t="s">
        <v>1</v>
      </c>
      <c r="B2" s="3"/>
      <c r="C2" s="2">
        <f>C1-B1</f>
      </c>
      <c r="D2" s="2">
        <f>D1-C1</f>
      </c>
      <c r="E2" s="2">
        <f>E1-D1</f>
      </c>
      <c r="F2" s="2">
        <f>F1-E1</f>
      </c>
      <c r="G2" s="2">
        <f>G1-F1</f>
      </c>
      <c r="H2" s="2">
        <f>H1-G1</f>
      </c>
      <c r="I2" s="2">
        <f>I1-H1</f>
      </c>
      <c r="J2" s="2">
        <f>J1-I1</f>
      </c>
      <c r="K2" s="2">
        <f>K1-J1</f>
      </c>
      <c r="L2" s="2">
        <f>L1-K1</f>
      </c>
      <c r="M2" s="2">
        <f>M1-L1</f>
      </c>
      <c r="N2" s="2">
        <f>N1-M1</f>
      </c>
      <c r="O2" s="2">
        <f>O1-N1</f>
      </c>
      <c r="P2" s="2">
        <f>P1-O1</f>
      </c>
      <c r="Q2" s="2">
        <f>Q1-P1</f>
      </c>
      <c r="R2" s="2">
        <f>R1-Q1</f>
      </c>
      <c r="S2" s="2">
        <f>S1-R1</f>
      </c>
      <c r="T2" s="2">
        <f>T1-S1</f>
      </c>
      <c r="U2" s="2">
        <f>U1-T1</f>
      </c>
      <c r="V2" s="2">
        <f>V1-U1</f>
      </c>
      <c r="W2" s="2">
        <f>W1-V1</f>
      </c>
      <c r="X2" s="2">
        <f>X1-W1</f>
      </c>
      <c r="Y2" s="2">
        <f>Y1-X1</f>
      </c>
      <c r="Z2" s="2">
        <f>Z1-Y1</f>
      </c>
      <c r="AA2" s="2">
        <f>AA1-Z1</f>
      </c>
      <c r="AB2" s="2">
        <f>AB1-AA1</f>
      </c>
    </row>
    <row x14ac:dyDescent="0.25" r="3" customHeight="1" ht="18.75">
      <c r="A3" s="1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</row>
    <row x14ac:dyDescent="0.25" r="4" customHeight="1" ht="18.75">
      <c r="A4" s="1" t="s">
        <v>2</v>
      </c>
      <c r="B4" s="2">
        <v>6</v>
      </c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</row>
    <row x14ac:dyDescent="0.25" r="5" customHeight="1" ht="18.75">
      <c r="A5" s="1" t="s">
        <v>3</v>
      </c>
      <c r="B5" s="2">
        <v>1</v>
      </c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</row>
    <row x14ac:dyDescent="0.25" r="6" customHeight="1" ht="18.75">
      <c r="A6" s="1" t="s">
        <v>4</v>
      </c>
      <c r="B6" s="2">
        <v>9</v>
      </c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</row>
    <row x14ac:dyDescent="0.25" r="7" customHeight="1" ht="18.75">
      <c r="A7" s="1" t="s">
        <v>5</v>
      </c>
      <c r="B7" s="2">
        <v>-30</v>
      </c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</row>
    <row x14ac:dyDescent="0.25" r="8" customHeight="1" ht="18.75">
      <c r="A8" s="1" t="s">
        <v>6</v>
      </c>
      <c r="B8" s="2">
        <v>7</v>
      </c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</row>
    <row x14ac:dyDescent="0.25" r="9" customHeight="1" ht="18.75">
      <c r="A9" s="1"/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</row>
    <row x14ac:dyDescent="0.25" r="10" customHeight="1" ht="18.75">
      <c r="A10" s="1"/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</row>
    <row x14ac:dyDescent="0.25" r="11" customHeight="1" ht="18.75">
      <c r="A11" s="1"/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</row>
    <row x14ac:dyDescent="0.25" r="12" customHeight="1" ht="18.75">
      <c r="A12" s="1" t="s">
        <v>7</v>
      </c>
      <c r="B12" s="2">
        <v>1</v>
      </c>
      <c r="C12" s="2">
        <v>2</v>
      </c>
      <c r="D12" s="2">
        <v>3</v>
      </c>
      <c r="E12" s="2">
        <v>4</v>
      </c>
      <c r="F12" s="2">
        <v>5</v>
      </c>
      <c r="G12" s="2">
        <v>6</v>
      </c>
      <c r="H12" s="2">
        <v>7</v>
      </c>
      <c r="I12" s="2">
        <v>8</v>
      </c>
      <c r="J12" s="2">
        <v>9</v>
      </c>
      <c r="K12" s="2">
        <v>10</v>
      </c>
      <c r="L12" s="2">
        <v>11</v>
      </c>
      <c r="M12" s="2">
        <v>12</v>
      </c>
      <c r="N12" s="2">
        <v>13</v>
      </c>
      <c r="O12" s="2">
        <v>14</v>
      </c>
      <c r="P12" s="2">
        <v>15</v>
      </c>
      <c r="Q12" s="2">
        <v>16</v>
      </c>
      <c r="R12" s="2">
        <v>17</v>
      </c>
      <c r="S12" s="2">
        <v>18</v>
      </c>
      <c r="T12" s="2">
        <v>19</v>
      </c>
      <c r="U12" s="2">
        <v>20</v>
      </c>
      <c r="V12" s="2">
        <v>21</v>
      </c>
      <c r="W12" s="2">
        <v>22</v>
      </c>
      <c r="X12" s="2">
        <v>23</v>
      </c>
      <c r="Y12" s="2">
        <v>24</v>
      </c>
      <c r="Z12" s="2">
        <v>25</v>
      </c>
      <c r="AA12" s="2">
        <v>26</v>
      </c>
      <c r="AB12" s="2">
        <v>27</v>
      </c>
    </row>
    <row x14ac:dyDescent="0.25" r="13" customHeight="1" ht="18.75">
      <c r="A13" s="2">
        <v>0</v>
      </c>
      <c r="B13" s="2">
        <f>IF(B$12&gt;$A13,IF(B$12=1,5,MAX($B$4-ROUNDDOWN((SQRT($B$5*(B$12+$B$7)+$B$6*($A13+$B$8)))/2,0),1)),"")</f>
      </c>
      <c r="C13" s="2">
        <f>IF(C$12&gt;$A13,IF(C$12=1,5,MAX($B$4-ROUNDDOWN((SQRT($B$5*(C$12+$B$7)+$B$6*($A13+$B$8)))/2,0),1)),"")</f>
      </c>
      <c r="D13" s="2">
        <f>IF(D$12&gt;$A13,IF(D$12=1,5,MAX($B$4-ROUNDDOWN((SQRT($B$5*(D$12+$B$7)+$B$6*($A13+$B$8)))/2,0),1)),"")</f>
      </c>
      <c r="E13" s="2">
        <f>IF(E$12&gt;$A13,IF(E$12=1,5,MAX($B$4-ROUNDDOWN((SQRT($B$5*(E$12+$B$7)+$B$6*($A13+$B$8)))/2,0),1)),"")</f>
      </c>
      <c r="F13" s="2">
        <f>IF(F$12&gt;$A13,IF(F$12=1,5,MAX($B$4-ROUNDDOWN((SQRT($B$5*(F$12+$B$7)+$B$6*($A13+$B$8)))/2,0),1)),"")</f>
      </c>
      <c r="G13" s="2">
        <f>IF(G$12&gt;$A13,IF(G$12=1,5,MAX($B$4-ROUNDDOWN((SQRT($B$5*(G$12+$B$7)+$B$6*($A13+$B$8)))/2,0),1)),"")</f>
      </c>
      <c r="H13" s="2">
        <f>IF(H$12&gt;$A13,IF(H$12=1,5,MAX($B$4-ROUNDDOWN((SQRT($B$5*(H$12+$B$7)+$B$6*($A13+$B$8)))/2,0),1)),"")</f>
      </c>
      <c r="I13" s="2">
        <f>IF(I$12&gt;$A13,IF(I$12=1,5,MAX($B$4-ROUNDDOWN((SQRT($B$5*(I$12+$B$7)+$B$6*($A13+$B$8)))/2,0),1)),"")</f>
      </c>
      <c r="J13" s="2">
        <f>IF(J$12&gt;$A13,IF(J$12=1,5,MAX($B$4-ROUNDDOWN((SQRT($B$5*(J$12+$B$7)+$B$6*($A13+$B$8)))/2,0),1)),"")</f>
      </c>
      <c r="K13" s="2">
        <f>IF(K$12&gt;$A13,IF(K$12=1,5,MAX($B$4-ROUNDDOWN((SQRT($B$5*(K$12+$B$7)+$B$6*($A13+$B$8)))/2,0),1)),"")</f>
      </c>
      <c r="L13" s="2">
        <f>IF(L$12&gt;$A13,IF(L$12=1,5,MAX($B$4-ROUNDDOWN((SQRT($B$5*(L$12+$B$7)+$B$6*($A13+$B$8)))/2,0),1)),"")</f>
      </c>
      <c r="M13" s="2">
        <f>IF(M$12&gt;$A13,IF(M$12=1,5,MAX($B$4-ROUNDDOWN((SQRT($B$5*(M$12+$B$7)+$B$6*($A13+$B$8)))/2,0),1)),"")</f>
      </c>
      <c r="N13" s="2">
        <f>IF(N$12&gt;$A13,IF(N$12=1,5,MAX($B$4-ROUNDDOWN((SQRT($B$5*(N$12+$B$7)+$B$6*($A13+$B$8)))/2,0),1)),"")</f>
      </c>
      <c r="O13" s="2">
        <f>IF(O$12&gt;$A13,IF(O$12=1,5,MAX($B$4-ROUNDDOWN((SQRT($B$5*(O$12+$B$7)+$B$6*($A13+$B$8)))/2,0),1)),"")</f>
      </c>
      <c r="P13" s="2">
        <f>IF(P$12&gt;$A13,IF(P$12=1,5,MAX($B$4-ROUNDDOWN((SQRT($B$5*(P$12+$B$7)+$B$6*($A13+$B$8)))/2,0),1)),"")</f>
      </c>
      <c r="Q13" s="2">
        <f>IF(Q$12&gt;$A13,IF(Q$12=1,5,MAX($B$4-ROUNDDOWN((SQRT($B$5*(Q$12+$B$7)+$B$6*($A13+$B$8)))/2,0),1)),"")</f>
      </c>
      <c r="R13" s="2">
        <f>IF(R$12&gt;$A13,IF(R$12=1,5,MAX($B$4-ROUNDDOWN((SQRT($B$5*(R$12+$B$7)+$B$6*($A13+$B$8)))/2,0),1)),"")</f>
      </c>
      <c r="S13" s="2">
        <f>IF(S$12&gt;$A13,IF(S$12=1,5,MAX($B$4-ROUNDDOWN((SQRT($B$5*(S$12+$B$7)+$B$6*($A13+$B$8)))/2,0),1)),"")</f>
      </c>
      <c r="T13" s="2">
        <f>IF(T$12&gt;$A13,IF(T$12=1,5,MAX($B$4-ROUNDDOWN((SQRT($B$5*(T$12+$B$7)+$B$6*($A13+$B$8)))/2,0),1)),"")</f>
      </c>
      <c r="U13" s="2">
        <f>IF(U$12&gt;$A13,IF(U$12=1,5,MAX($B$4-ROUNDDOWN((SQRT($B$5*(U$12+$B$7)+$B$6*($A13+$B$8)))/2,0),1)),"")</f>
      </c>
      <c r="V13" s="2">
        <f>IF(V$12&gt;$A13,IF(V$12=1,5,MAX($B$4-ROUNDDOWN((SQRT($B$5*(V$12+$B$7)+$B$6*($A13+$B$8)))/2,0),1)),"")</f>
      </c>
      <c r="W13" s="2">
        <f>IF(W$12&gt;$A13,IF(W$12=1,5,MAX($B$4-ROUNDDOWN((SQRT($B$5*(W$12+$B$7)+$B$6*($A13+$B$8)))/2,0),1)),"")</f>
      </c>
      <c r="X13" s="2">
        <f>IF(X$12&gt;$A13,IF(X$12=1,5,MAX($B$4-ROUNDDOWN((SQRT($B$5*(X$12+$B$7)+$B$6*($A13+$B$8)))/2,0),1)),"")</f>
      </c>
      <c r="Y13" s="2">
        <f>IF(Y$12&gt;$A13,IF(Y$12=1,5,MAX($B$4-ROUNDDOWN((SQRT($B$5*(Y$12+$B$7)+$B$6*($A13+$B$8)))/2,0),1)),"")</f>
      </c>
      <c r="Z13" s="2">
        <f>IF(Z$12&gt;$A13,IF(Z$12=1,5,MAX($B$4-ROUNDDOWN((SQRT($B$5*(Z$12+$B$7)+$B$6*($A13+$B$8)))/2,0),1)),"")</f>
      </c>
      <c r="AA13" s="2">
        <f>IF(AA$12&gt;$A13,IF(AA$12=1,5,MAX($B$4-ROUNDDOWN((SQRT($B$5*(AA$12+$B$7)+$B$6*($A13+$B$8)))/2,0),1)),"")</f>
      </c>
      <c r="AB13" s="2">
        <f>IF(AB$12&gt;$A13,IF(AB$12=1,5,MAX($B$4-ROUNDDOWN((SQRT($B$5*(AB$12+$B$7)+$B$6*($A13+$B$8)))/2,0),1)),"")</f>
      </c>
    </row>
    <row x14ac:dyDescent="0.25" r="14" customHeight="1" ht="18.75">
      <c r="A14" s="2">
        <v>1</v>
      </c>
      <c r="B14" s="3">
        <f>IF(B$12&gt;$A14,IF(B$12=1,5,MAX($B$4-ROUNDDOWN((SQRT($B$5*(B$12+$B$7)+$B$6*($A14+$B$8)))/2,0),1)),"")</f>
      </c>
      <c r="C14" s="2">
        <f>IF(C$12&gt;$A14,IF(C$12=1,5,MAX($B$4-ROUNDDOWN((SQRT($B$5*(C$12+$B$7)+$B$6*($A14+$B$8)))/2,0),1)),"")</f>
      </c>
      <c r="D14" s="2">
        <f>IF(D$12&gt;$A14,IF(D$12=1,5,MAX($B$4-ROUNDDOWN((SQRT($B$5*(D$12+$B$7)+$B$6*($A14+$B$8)))/2,0),1)),"")</f>
      </c>
      <c r="E14" s="2">
        <f>IF(E$12&gt;$A14,IF(E$12=1,5,MAX($B$4-ROUNDDOWN((SQRT($B$5*(E$12+$B$7)+$B$6*($A14+$B$8)))/2,0),1)),"")</f>
      </c>
      <c r="F14" s="2">
        <f>IF(F$12&gt;$A14,IF(F$12=1,5,MAX($B$4-ROUNDDOWN((SQRT($B$5*(F$12+$B$7)+$B$6*($A14+$B$8)))/2,0),1)),"")</f>
      </c>
      <c r="G14" s="2">
        <f>IF(G$12&gt;$A14,IF(G$12=1,5,MAX($B$4-ROUNDDOWN((SQRT($B$5*(G$12+$B$7)+$B$6*($A14+$B$8)))/2,0),1)),"")</f>
      </c>
      <c r="H14" s="2">
        <f>IF(H$12&gt;$A14,IF(H$12=1,5,MAX($B$4-ROUNDDOWN((SQRT($B$5*(H$12+$B$7)+$B$6*($A14+$B$8)))/2,0),1)),"")</f>
      </c>
      <c r="I14" s="2">
        <f>IF(I$12&gt;$A14,IF(I$12=1,5,MAX($B$4-ROUNDDOWN((SQRT($B$5*(I$12+$B$7)+$B$6*($A14+$B$8)))/2,0),1)),"")</f>
      </c>
      <c r="J14" s="2">
        <f>IF(J$12&gt;$A14,IF(J$12=1,5,MAX($B$4-ROUNDDOWN((SQRT($B$5*(J$12+$B$7)+$B$6*($A14+$B$8)))/2,0),1)),"")</f>
      </c>
      <c r="K14" s="2">
        <f>IF(K$12&gt;$A14,IF(K$12=1,5,MAX($B$4-ROUNDDOWN((SQRT($B$5*(K$12+$B$7)+$B$6*($A14+$B$8)))/2,0),1)),"")</f>
      </c>
      <c r="L14" s="2">
        <f>IF(L$12&gt;$A14,IF(L$12=1,5,MAX($B$4-ROUNDDOWN((SQRT($B$5*(L$12+$B$7)+$B$6*($A14+$B$8)))/2,0),1)),"")</f>
      </c>
      <c r="M14" s="2">
        <f>IF(M$12&gt;$A14,IF(M$12=1,5,MAX($B$4-ROUNDDOWN((SQRT($B$5*(M$12+$B$7)+$B$6*($A14+$B$8)))/2,0),1)),"")</f>
      </c>
      <c r="N14" s="2">
        <f>IF(N$12&gt;$A14,IF(N$12=1,5,MAX($B$4-ROUNDDOWN((SQRT($B$5*(N$12+$B$7)+$B$6*($A14+$B$8)))/2,0),1)),"")</f>
      </c>
      <c r="O14" s="2">
        <f>IF(O$12&gt;$A14,IF(O$12=1,5,MAX($B$4-ROUNDDOWN((SQRT($B$5*(O$12+$B$7)+$B$6*($A14+$B$8)))/2,0),1)),"")</f>
      </c>
      <c r="P14" s="2">
        <f>IF(P$12&gt;$A14,IF(P$12=1,5,MAX($B$4-ROUNDDOWN((SQRT($B$5*(P$12+$B$7)+$B$6*($A14+$B$8)))/2,0),1)),"")</f>
      </c>
      <c r="Q14" s="2">
        <f>IF(Q$12&gt;$A14,IF(Q$12=1,5,MAX($B$4-ROUNDDOWN((SQRT($B$5*(Q$12+$B$7)+$B$6*($A14+$B$8)))/2,0),1)),"")</f>
      </c>
      <c r="R14" s="2">
        <f>IF(R$12&gt;$A14,IF(R$12=1,5,MAX($B$4-ROUNDDOWN((SQRT($B$5*(R$12+$B$7)+$B$6*($A14+$B$8)))/2,0),1)),"")</f>
      </c>
      <c r="S14" s="2">
        <f>IF(S$12&gt;$A14,IF(S$12=1,5,MAX($B$4-ROUNDDOWN((SQRT($B$5*(S$12+$B$7)+$B$6*($A14+$B$8)))/2,0),1)),"")</f>
      </c>
      <c r="T14" s="2">
        <f>IF(T$12&gt;$A14,IF(T$12=1,5,MAX($B$4-ROUNDDOWN((SQRT($B$5*(T$12+$B$7)+$B$6*($A14+$B$8)))/2,0),1)),"")</f>
      </c>
      <c r="U14" s="2">
        <f>IF(U$12&gt;$A14,IF(U$12=1,5,MAX($B$4-ROUNDDOWN((SQRT($B$5*(U$12+$B$7)+$B$6*($A14+$B$8)))/2,0),1)),"")</f>
      </c>
      <c r="V14" s="2">
        <f>IF(V$12&gt;$A14,IF(V$12=1,5,MAX($B$4-ROUNDDOWN((SQRT($B$5*(V$12+$B$7)+$B$6*($A14+$B$8)))/2,0),1)),"")</f>
      </c>
      <c r="W14" s="2">
        <f>IF(W$12&gt;$A14,IF(W$12=1,5,MAX($B$4-ROUNDDOWN((SQRT($B$5*(W$12+$B$7)+$B$6*($A14+$B$8)))/2,0),1)),"")</f>
      </c>
      <c r="X14" s="2">
        <f>IF(X$12&gt;$A14,IF(X$12=1,5,MAX($B$4-ROUNDDOWN((SQRT($B$5*(X$12+$B$7)+$B$6*($A14+$B$8)))/2,0),1)),"")</f>
      </c>
      <c r="Y14" s="2">
        <f>IF(Y$12&gt;$A14,IF(Y$12=1,5,MAX($B$4-ROUNDDOWN((SQRT($B$5*(Y$12+$B$7)+$B$6*($A14+$B$8)))/2,0),1)),"")</f>
      </c>
      <c r="Z14" s="2">
        <f>IF(Z$12&gt;$A14,IF(Z$12=1,5,MAX($B$4-ROUNDDOWN((SQRT($B$5*(Z$12+$B$7)+$B$6*($A14+$B$8)))/2,0),1)),"")</f>
      </c>
      <c r="AA14" s="2">
        <f>IF(AA$12&gt;$A14,IF(AA$12=1,5,MAX($B$4-ROUNDDOWN((SQRT($B$5*(AA$12+$B$7)+$B$6*($A14+$B$8)))/2,0),1)),"")</f>
      </c>
      <c r="AB14" s="2">
        <f>IF(AB$12&gt;$A14,IF(AB$12=1,5,MAX($B$4-ROUNDDOWN((SQRT($B$5*(AB$12+$B$7)+$B$6*($A14+$B$8)))/2,0),1)),"")</f>
      </c>
    </row>
    <row x14ac:dyDescent="0.25" r="15" customHeight="1" ht="18.75">
      <c r="A15" s="2">
        <v>2</v>
      </c>
      <c r="B15" s="3">
        <f>IF(B$12&gt;$A15,IF(B$12=1,5,MAX($B$4-ROUNDDOWN((SQRT($B$5*(B$12+$B$7)+$B$6*($A15+$B$8)))/2,0),1)),"")</f>
      </c>
      <c r="C15" s="3">
        <f>IF(C$12&gt;$A15,IF(C$12=1,5,MAX($B$4-ROUNDDOWN((SQRT($B$5*(C$12+$B$7)+$B$6*($A15+$B$8)))/2,0),1)),"")</f>
      </c>
      <c r="D15" s="2">
        <f>IF(D$12&gt;$A15,IF(D$12=1,5,MAX($B$4-ROUNDDOWN((SQRT($B$5*(D$12+$B$7)+$B$6*($A15+$B$8)))/2,0),1)),"")</f>
      </c>
      <c r="E15" s="2">
        <f>IF(E$12&gt;$A15,IF(E$12=1,5,MAX($B$4-ROUNDDOWN((SQRT($B$5*(E$12+$B$7)+$B$6*($A15+$B$8)))/2,0),1)),"")</f>
      </c>
      <c r="F15" s="2">
        <f>IF(F$12&gt;$A15,IF(F$12=1,5,MAX($B$4-ROUNDDOWN((SQRT($B$5*(F$12+$B$7)+$B$6*($A15+$B$8)))/2,0),1)),"")</f>
      </c>
      <c r="G15" s="2">
        <f>IF(G$12&gt;$A15,IF(G$12=1,5,MAX($B$4-ROUNDDOWN((SQRT($B$5*(G$12+$B$7)+$B$6*($A15+$B$8)))/2,0),1)),"")</f>
      </c>
      <c r="H15" s="2">
        <f>IF(H$12&gt;$A15,IF(H$12=1,5,MAX($B$4-ROUNDDOWN((SQRT($B$5*(H$12+$B$7)+$B$6*($A15+$B$8)))/2,0),1)),"")</f>
      </c>
      <c r="I15" s="2">
        <f>IF(I$12&gt;$A15,IF(I$12=1,5,MAX($B$4-ROUNDDOWN((SQRT($B$5*(I$12+$B$7)+$B$6*($A15+$B$8)))/2,0),1)),"")</f>
      </c>
      <c r="J15" s="2">
        <f>IF(J$12&gt;$A15,IF(J$12=1,5,MAX($B$4-ROUNDDOWN((SQRT($B$5*(J$12+$B$7)+$B$6*($A15+$B$8)))/2,0),1)),"")</f>
      </c>
      <c r="K15" s="2">
        <f>IF(K$12&gt;$A15,IF(K$12=1,5,MAX($B$4-ROUNDDOWN((SQRT($B$5*(K$12+$B$7)+$B$6*($A15+$B$8)))/2,0),1)),"")</f>
      </c>
      <c r="L15" s="2">
        <f>IF(L$12&gt;$A15,IF(L$12=1,5,MAX($B$4-ROUNDDOWN((SQRT($B$5*(L$12+$B$7)+$B$6*($A15+$B$8)))/2,0),1)),"")</f>
      </c>
      <c r="M15" s="2">
        <f>IF(M$12&gt;$A15,IF(M$12=1,5,MAX($B$4-ROUNDDOWN((SQRT($B$5*(M$12+$B$7)+$B$6*($A15+$B$8)))/2,0),1)),"")</f>
      </c>
      <c r="N15" s="2">
        <f>IF(N$12&gt;$A15,IF(N$12=1,5,MAX($B$4-ROUNDDOWN((SQRT($B$5*(N$12+$B$7)+$B$6*($A15+$B$8)))/2,0),1)),"")</f>
      </c>
      <c r="O15" s="2">
        <f>IF(O$12&gt;$A15,IF(O$12=1,5,MAX($B$4-ROUNDDOWN((SQRT($B$5*(O$12+$B$7)+$B$6*($A15+$B$8)))/2,0),1)),"")</f>
      </c>
      <c r="P15" s="2">
        <f>IF(P$12&gt;$A15,IF(P$12=1,5,MAX($B$4-ROUNDDOWN((SQRT($B$5*(P$12+$B$7)+$B$6*($A15+$B$8)))/2,0),1)),"")</f>
      </c>
      <c r="Q15" s="2">
        <f>IF(Q$12&gt;$A15,IF(Q$12=1,5,MAX($B$4-ROUNDDOWN((SQRT($B$5*(Q$12+$B$7)+$B$6*($A15+$B$8)))/2,0),1)),"")</f>
      </c>
      <c r="R15" s="2">
        <f>IF(R$12&gt;$A15,IF(R$12=1,5,MAX($B$4-ROUNDDOWN((SQRT($B$5*(R$12+$B$7)+$B$6*($A15+$B$8)))/2,0),1)),"")</f>
      </c>
      <c r="S15" s="2">
        <f>IF(S$12&gt;$A15,IF(S$12=1,5,MAX($B$4-ROUNDDOWN((SQRT($B$5*(S$12+$B$7)+$B$6*($A15+$B$8)))/2,0),1)),"")</f>
      </c>
      <c r="T15" s="2">
        <f>IF(T$12&gt;$A15,IF(T$12=1,5,MAX($B$4-ROUNDDOWN((SQRT($B$5*(T$12+$B$7)+$B$6*($A15+$B$8)))/2,0),1)),"")</f>
      </c>
      <c r="U15" s="2">
        <f>IF(U$12&gt;$A15,IF(U$12=1,5,MAX($B$4-ROUNDDOWN((SQRT($B$5*(U$12+$B$7)+$B$6*($A15+$B$8)))/2,0),1)),"")</f>
      </c>
      <c r="V15" s="2">
        <f>IF(V$12&gt;$A15,IF(V$12=1,5,MAX($B$4-ROUNDDOWN((SQRT($B$5*(V$12+$B$7)+$B$6*($A15+$B$8)))/2,0),1)),"")</f>
      </c>
      <c r="W15" s="2">
        <f>IF(W$12&gt;$A15,IF(W$12=1,5,MAX($B$4-ROUNDDOWN((SQRT($B$5*(W$12+$B$7)+$B$6*($A15+$B$8)))/2,0),1)),"")</f>
      </c>
      <c r="X15" s="2">
        <f>IF(X$12&gt;$A15,IF(X$12=1,5,MAX($B$4-ROUNDDOWN((SQRT($B$5*(X$12+$B$7)+$B$6*($A15+$B$8)))/2,0),1)),"")</f>
      </c>
      <c r="Y15" s="2">
        <f>IF(Y$12&gt;$A15,IF(Y$12=1,5,MAX($B$4-ROUNDDOWN((SQRT($B$5*(Y$12+$B$7)+$B$6*($A15+$B$8)))/2,0),1)),"")</f>
      </c>
      <c r="Z15" s="2">
        <f>IF(Z$12&gt;$A15,IF(Z$12=1,5,MAX($B$4-ROUNDDOWN((SQRT($B$5*(Z$12+$B$7)+$B$6*($A15+$B$8)))/2,0),1)),"")</f>
      </c>
      <c r="AA15" s="2">
        <f>IF(AA$12&gt;$A15,IF(AA$12=1,5,MAX($B$4-ROUNDDOWN((SQRT($B$5*(AA$12+$B$7)+$B$6*($A15+$B$8)))/2,0),1)),"")</f>
      </c>
      <c r="AB15" s="2">
        <f>IF(AB$12&gt;$A15,IF(AB$12=1,5,MAX($B$4-ROUNDDOWN((SQRT($B$5*(AB$12+$B$7)+$B$6*($A15+$B$8)))/2,0),1)),"")</f>
      </c>
    </row>
    <row x14ac:dyDescent="0.25" r="16" customHeight="1" ht="18.75">
      <c r="A16" s="2">
        <v>3</v>
      </c>
      <c r="B16" s="3">
        <f>IF(B$12&gt;$A16,IF(B$12=1,5,MAX($B$4-ROUNDDOWN((SQRT($B$5*(B$12+$B$7)+$B$6*($A16+$B$8)))/2,0),1)),"")</f>
      </c>
      <c r="C16" s="3">
        <f>IF(C$12&gt;$A16,IF(C$12=1,5,MAX($B$4-ROUNDDOWN((SQRT($B$5*(C$12+$B$7)+$B$6*($A16+$B$8)))/2,0),1)),"")</f>
      </c>
      <c r="D16" s="3">
        <f>IF(D$12&gt;$A16,IF(D$12=1,5,MAX($B$4-ROUNDDOWN((SQRT($B$5*(D$12+$B$7)+$B$6*($A16+$B$8)))/2,0),1)),"")</f>
      </c>
      <c r="E16" s="2">
        <f>IF(E$12&gt;$A16,IF(E$12=1,5,MAX($B$4-ROUNDDOWN((SQRT($B$5*(E$12+$B$7)+$B$6*($A16+$B$8)))/2,0),1)),"")</f>
      </c>
      <c r="F16" s="2">
        <f>IF(F$12&gt;$A16,IF(F$12=1,5,MAX($B$4-ROUNDDOWN((SQRT($B$5*(F$12+$B$7)+$B$6*($A16+$B$8)))/2,0),1)),"")</f>
      </c>
      <c r="G16" s="2">
        <f>IF(G$12&gt;$A16,IF(G$12=1,5,MAX($B$4-ROUNDDOWN((SQRT($B$5*(G$12+$B$7)+$B$6*($A16+$B$8)))/2,0),1)),"")</f>
      </c>
      <c r="H16" s="2">
        <f>IF(H$12&gt;$A16,IF(H$12=1,5,MAX($B$4-ROUNDDOWN((SQRT($B$5*(H$12+$B$7)+$B$6*($A16+$B$8)))/2,0),1)),"")</f>
      </c>
      <c r="I16" s="2">
        <f>IF(I$12&gt;$A16,IF(I$12=1,5,MAX($B$4-ROUNDDOWN((SQRT($B$5*(I$12+$B$7)+$B$6*($A16+$B$8)))/2,0),1)),"")</f>
      </c>
      <c r="J16" s="2">
        <f>IF(J$12&gt;$A16,IF(J$12=1,5,MAX($B$4-ROUNDDOWN((SQRT($B$5*(J$12+$B$7)+$B$6*($A16+$B$8)))/2,0),1)),"")</f>
      </c>
      <c r="K16" s="2">
        <f>IF(K$12&gt;$A16,IF(K$12=1,5,MAX($B$4-ROUNDDOWN((SQRT($B$5*(K$12+$B$7)+$B$6*($A16+$B$8)))/2,0),1)),"")</f>
      </c>
      <c r="L16" s="2">
        <f>IF(L$12&gt;$A16,IF(L$12=1,5,MAX($B$4-ROUNDDOWN((SQRT($B$5*(L$12+$B$7)+$B$6*($A16+$B$8)))/2,0),1)),"")</f>
      </c>
      <c r="M16" s="2">
        <f>IF(M$12&gt;$A16,IF(M$12=1,5,MAX($B$4-ROUNDDOWN((SQRT($B$5*(M$12+$B$7)+$B$6*($A16+$B$8)))/2,0),1)),"")</f>
      </c>
      <c r="N16" s="2">
        <f>IF(N$12&gt;$A16,IF(N$12=1,5,MAX($B$4-ROUNDDOWN((SQRT($B$5*(N$12+$B$7)+$B$6*($A16+$B$8)))/2,0),1)),"")</f>
      </c>
      <c r="O16" s="2">
        <f>IF(O$12&gt;$A16,IF(O$12=1,5,MAX($B$4-ROUNDDOWN((SQRT($B$5*(O$12+$B$7)+$B$6*($A16+$B$8)))/2,0),1)),"")</f>
      </c>
      <c r="P16" s="2">
        <f>IF(P$12&gt;$A16,IF(P$12=1,5,MAX($B$4-ROUNDDOWN((SQRT($B$5*(P$12+$B$7)+$B$6*($A16+$B$8)))/2,0),1)),"")</f>
      </c>
      <c r="Q16" s="2">
        <f>IF(Q$12&gt;$A16,IF(Q$12=1,5,MAX($B$4-ROUNDDOWN((SQRT($B$5*(Q$12+$B$7)+$B$6*($A16+$B$8)))/2,0),1)),"")</f>
      </c>
      <c r="R16" s="2">
        <f>IF(R$12&gt;$A16,IF(R$12=1,5,MAX($B$4-ROUNDDOWN((SQRT($B$5*(R$12+$B$7)+$B$6*($A16+$B$8)))/2,0),1)),"")</f>
      </c>
      <c r="S16" s="2">
        <f>IF(S$12&gt;$A16,IF(S$12=1,5,MAX($B$4-ROUNDDOWN((SQRT($B$5*(S$12+$B$7)+$B$6*($A16+$B$8)))/2,0),1)),"")</f>
      </c>
      <c r="T16" s="2">
        <f>IF(T$12&gt;$A16,IF(T$12=1,5,MAX($B$4-ROUNDDOWN((SQRT($B$5*(T$12+$B$7)+$B$6*($A16+$B$8)))/2,0),1)),"")</f>
      </c>
      <c r="U16" s="2">
        <f>IF(U$12&gt;$A16,IF(U$12=1,5,MAX($B$4-ROUNDDOWN((SQRT($B$5*(U$12+$B$7)+$B$6*($A16+$B$8)))/2,0),1)),"")</f>
      </c>
      <c r="V16" s="2">
        <f>IF(V$12&gt;$A16,IF(V$12=1,5,MAX($B$4-ROUNDDOWN((SQRT($B$5*(V$12+$B$7)+$B$6*($A16+$B$8)))/2,0),1)),"")</f>
      </c>
      <c r="W16" s="2">
        <f>IF(W$12&gt;$A16,IF(W$12=1,5,MAX($B$4-ROUNDDOWN((SQRT($B$5*(W$12+$B$7)+$B$6*($A16+$B$8)))/2,0),1)),"")</f>
      </c>
      <c r="X16" s="2">
        <f>IF(X$12&gt;$A16,IF(X$12=1,5,MAX($B$4-ROUNDDOWN((SQRT($B$5*(X$12+$B$7)+$B$6*($A16+$B$8)))/2,0),1)),"")</f>
      </c>
      <c r="Y16" s="2">
        <f>IF(Y$12&gt;$A16,IF(Y$12=1,5,MAX($B$4-ROUNDDOWN((SQRT($B$5*(Y$12+$B$7)+$B$6*($A16+$B$8)))/2,0),1)),"")</f>
      </c>
      <c r="Z16" s="2">
        <f>IF(Z$12&gt;$A16,IF(Z$12=1,5,MAX($B$4-ROUNDDOWN((SQRT($B$5*(Z$12+$B$7)+$B$6*($A16+$B$8)))/2,0),1)),"")</f>
      </c>
      <c r="AA16" s="2">
        <f>IF(AA$12&gt;$A16,IF(AA$12=1,5,MAX($B$4-ROUNDDOWN((SQRT($B$5*(AA$12+$B$7)+$B$6*($A16+$B$8)))/2,0),1)),"")</f>
      </c>
      <c r="AB16" s="2">
        <f>IF(AB$12&gt;$A16,IF(AB$12=1,5,MAX($B$4-ROUNDDOWN((SQRT($B$5*(AB$12+$B$7)+$B$6*($A16+$B$8)))/2,0),1)),"")</f>
      </c>
    </row>
    <row x14ac:dyDescent="0.25" r="17" customHeight="1" ht="18.75">
      <c r="A17" s="2">
        <v>4</v>
      </c>
      <c r="B17" s="3">
        <f>IF(B$12&gt;$A17,IF(B$12=1,5,MAX($B$4-ROUNDDOWN((SQRT($B$5*(B$12+$B$7)+$B$6*($A17+$B$8)))/2,0),1)),"")</f>
      </c>
      <c r="C17" s="3">
        <f>IF(C$12&gt;$A17,IF(C$12=1,5,MAX($B$4-ROUNDDOWN((SQRT($B$5*(C$12+$B$7)+$B$6*($A17+$B$8)))/2,0),1)),"")</f>
      </c>
      <c r="D17" s="3">
        <f>IF(D$12&gt;$A17,IF(D$12=1,5,MAX($B$4-ROUNDDOWN((SQRT($B$5*(D$12+$B$7)+$B$6*($A17+$B$8)))/2,0),1)),"")</f>
      </c>
      <c r="E17" s="3">
        <f>IF(E$12&gt;$A17,IF(E$12=1,5,MAX($B$4-ROUNDDOWN((SQRT($B$5*(E$12+$B$7)+$B$6*($A17+$B$8)))/2,0),1)),"")</f>
      </c>
      <c r="F17" s="2">
        <f>IF(F$12&gt;$A17,IF(F$12=1,5,MAX($B$4-ROUNDDOWN((SQRT($B$5*(F$12+$B$7)+$B$6*($A17+$B$8)))/2,0),1)),"")</f>
      </c>
      <c r="G17" s="2">
        <f>IF(G$12&gt;$A17,IF(G$12=1,5,MAX($B$4-ROUNDDOWN((SQRT($B$5*(G$12+$B$7)+$B$6*($A17+$B$8)))/2,0),1)),"")</f>
      </c>
      <c r="H17" s="2">
        <f>IF(H$12&gt;$A17,IF(H$12=1,5,MAX($B$4-ROUNDDOWN((SQRT($B$5*(H$12+$B$7)+$B$6*($A17+$B$8)))/2,0),1)),"")</f>
      </c>
      <c r="I17" s="2">
        <f>IF(I$12&gt;$A17,IF(I$12=1,5,MAX($B$4-ROUNDDOWN((SQRT($B$5*(I$12+$B$7)+$B$6*($A17+$B$8)))/2,0),1)),"")</f>
      </c>
      <c r="J17" s="2">
        <f>IF(J$12&gt;$A17,IF(J$12=1,5,MAX($B$4-ROUNDDOWN((SQRT($B$5*(J$12+$B$7)+$B$6*($A17+$B$8)))/2,0),1)),"")</f>
      </c>
      <c r="K17" s="2">
        <f>IF(K$12&gt;$A17,IF(K$12=1,5,MAX($B$4-ROUNDDOWN((SQRT($B$5*(K$12+$B$7)+$B$6*($A17+$B$8)))/2,0),1)),"")</f>
      </c>
      <c r="L17" s="2">
        <f>IF(L$12&gt;$A17,IF(L$12=1,5,MAX($B$4-ROUNDDOWN((SQRT($B$5*(L$12+$B$7)+$B$6*($A17+$B$8)))/2,0),1)),"")</f>
      </c>
      <c r="M17" s="2">
        <f>IF(M$12&gt;$A17,IF(M$12=1,5,MAX($B$4-ROUNDDOWN((SQRT($B$5*(M$12+$B$7)+$B$6*($A17+$B$8)))/2,0),1)),"")</f>
      </c>
      <c r="N17" s="2">
        <f>IF(N$12&gt;$A17,IF(N$12=1,5,MAX($B$4-ROUNDDOWN((SQRT($B$5*(N$12+$B$7)+$B$6*($A17+$B$8)))/2,0),1)),"")</f>
      </c>
      <c r="O17" s="2">
        <f>IF(O$12&gt;$A17,IF(O$12=1,5,MAX($B$4-ROUNDDOWN((SQRT($B$5*(O$12+$B$7)+$B$6*($A17+$B$8)))/2,0),1)),"")</f>
      </c>
      <c r="P17" s="2">
        <f>IF(P$12&gt;$A17,IF(P$12=1,5,MAX($B$4-ROUNDDOWN((SQRT($B$5*(P$12+$B$7)+$B$6*($A17+$B$8)))/2,0),1)),"")</f>
      </c>
      <c r="Q17" s="2">
        <f>IF(Q$12&gt;$A17,IF(Q$12=1,5,MAX($B$4-ROUNDDOWN((SQRT($B$5*(Q$12+$B$7)+$B$6*($A17+$B$8)))/2,0),1)),"")</f>
      </c>
      <c r="R17" s="2">
        <f>IF(R$12&gt;$A17,IF(R$12=1,5,MAX($B$4-ROUNDDOWN((SQRT($B$5*(R$12+$B$7)+$B$6*($A17+$B$8)))/2,0),1)),"")</f>
      </c>
      <c r="S17" s="2">
        <f>IF(S$12&gt;$A17,IF(S$12=1,5,MAX($B$4-ROUNDDOWN((SQRT($B$5*(S$12+$B$7)+$B$6*($A17+$B$8)))/2,0),1)),"")</f>
      </c>
      <c r="T17" s="2">
        <f>IF(T$12&gt;$A17,IF(T$12=1,5,MAX($B$4-ROUNDDOWN((SQRT($B$5*(T$12+$B$7)+$B$6*($A17+$B$8)))/2,0),1)),"")</f>
      </c>
      <c r="U17" s="2">
        <f>IF(U$12&gt;$A17,IF(U$12=1,5,MAX($B$4-ROUNDDOWN((SQRT($B$5*(U$12+$B$7)+$B$6*($A17+$B$8)))/2,0),1)),"")</f>
      </c>
      <c r="V17" s="2">
        <f>IF(V$12&gt;$A17,IF(V$12=1,5,MAX($B$4-ROUNDDOWN((SQRT($B$5*(V$12+$B$7)+$B$6*($A17+$B$8)))/2,0),1)),"")</f>
      </c>
      <c r="W17" s="2">
        <f>IF(W$12&gt;$A17,IF(W$12=1,5,MAX($B$4-ROUNDDOWN((SQRT($B$5*(W$12+$B$7)+$B$6*($A17+$B$8)))/2,0),1)),"")</f>
      </c>
      <c r="X17" s="2">
        <f>IF(X$12&gt;$A17,IF(X$12=1,5,MAX($B$4-ROUNDDOWN((SQRT($B$5*(X$12+$B$7)+$B$6*($A17+$B$8)))/2,0),1)),"")</f>
      </c>
      <c r="Y17" s="2">
        <f>IF(Y$12&gt;$A17,IF(Y$12=1,5,MAX($B$4-ROUNDDOWN((SQRT($B$5*(Y$12+$B$7)+$B$6*($A17+$B$8)))/2,0),1)),"")</f>
      </c>
      <c r="Z17" s="2">
        <f>IF(Z$12&gt;$A17,IF(Z$12=1,5,MAX($B$4-ROUNDDOWN((SQRT($B$5*(Z$12+$B$7)+$B$6*($A17+$B$8)))/2,0),1)),"")</f>
      </c>
      <c r="AA17" s="2">
        <f>IF(AA$12&gt;$A17,IF(AA$12=1,5,MAX($B$4-ROUNDDOWN((SQRT($B$5*(AA$12+$B$7)+$B$6*($A17+$B$8)))/2,0),1)),"")</f>
      </c>
      <c r="AB17" s="2">
        <f>IF(AB$12&gt;$A17,IF(AB$12=1,5,MAX($B$4-ROUNDDOWN((SQRT($B$5*(AB$12+$B$7)+$B$6*($A17+$B$8)))/2,0),1)),"")</f>
      </c>
    </row>
    <row x14ac:dyDescent="0.25" r="18" customHeight="1" ht="18.75">
      <c r="A18" s="2">
        <v>5</v>
      </c>
      <c r="B18" s="3">
        <f>IF(B$12&gt;$A18,IF(B$12=1,5,MAX($B$4-ROUNDDOWN((SQRT($B$5*(B$12+$B$7)+$B$6*($A18+$B$8)))/2,0),1)),"")</f>
      </c>
      <c r="C18" s="3">
        <f>IF(C$12&gt;$A18,IF(C$12=1,5,MAX($B$4-ROUNDDOWN((SQRT($B$5*(C$12+$B$7)+$B$6*($A18+$B$8)))/2,0),1)),"")</f>
      </c>
      <c r="D18" s="3">
        <f>IF(D$12&gt;$A18,IF(D$12=1,5,MAX($B$4-ROUNDDOWN((SQRT($B$5*(D$12+$B$7)+$B$6*($A18+$B$8)))/2,0),1)),"")</f>
      </c>
      <c r="E18" s="3">
        <f>IF(E$12&gt;$A18,IF(E$12=1,5,MAX($B$4-ROUNDDOWN((SQRT($B$5*(E$12+$B$7)+$B$6*($A18+$B$8)))/2,0),1)),"")</f>
      </c>
      <c r="F18" s="3">
        <f>IF(F$12&gt;$A18,IF(F$12=1,5,MAX($B$4-ROUNDDOWN((SQRT($B$5*(F$12+$B$7)+$B$6*($A18+$B$8)))/2,0),1)),"")</f>
      </c>
      <c r="G18" s="2">
        <f>IF(G$12&gt;$A18,IF(G$12=1,5,MAX($B$4-ROUNDDOWN((SQRT($B$5*(G$12+$B$7)+$B$6*($A18+$B$8)))/2,0),1)),"")</f>
      </c>
      <c r="H18" s="2">
        <f>IF(H$12&gt;$A18,IF(H$12=1,5,MAX($B$4-ROUNDDOWN((SQRT($B$5*(H$12+$B$7)+$B$6*($A18+$B$8)))/2,0),1)),"")</f>
      </c>
      <c r="I18" s="2">
        <f>IF(I$12&gt;$A18,IF(I$12=1,5,MAX($B$4-ROUNDDOWN((SQRT($B$5*(I$12+$B$7)+$B$6*($A18+$B$8)))/2,0),1)),"")</f>
      </c>
      <c r="J18" s="2">
        <f>IF(J$12&gt;$A18,IF(J$12=1,5,MAX($B$4-ROUNDDOWN((SQRT($B$5*(J$12+$B$7)+$B$6*($A18+$B$8)))/2,0),1)),"")</f>
      </c>
      <c r="K18" s="2">
        <f>IF(K$12&gt;$A18,IF(K$12=1,5,MAX($B$4-ROUNDDOWN((SQRT($B$5*(K$12+$B$7)+$B$6*($A18+$B$8)))/2,0),1)),"")</f>
      </c>
      <c r="L18" s="2">
        <f>IF(L$12&gt;$A18,IF(L$12=1,5,MAX($B$4-ROUNDDOWN((SQRT($B$5*(L$12+$B$7)+$B$6*($A18+$B$8)))/2,0),1)),"")</f>
      </c>
      <c r="M18" s="2">
        <f>IF(M$12&gt;$A18,IF(M$12=1,5,MAX($B$4-ROUNDDOWN((SQRT($B$5*(M$12+$B$7)+$B$6*($A18+$B$8)))/2,0),1)),"")</f>
      </c>
      <c r="N18" s="2">
        <f>IF(N$12&gt;$A18,IF(N$12=1,5,MAX($B$4-ROUNDDOWN((SQRT($B$5*(N$12+$B$7)+$B$6*($A18+$B$8)))/2,0),1)),"")</f>
      </c>
      <c r="O18" s="2">
        <f>IF(O$12&gt;$A18,IF(O$12=1,5,MAX($B$4-ROUNDDOWN((SQRT($B$5*(O$12+$B$7)+$B$6*($A18+$B$8)))/2,0),1)),"")</f>
      </c>
      <c r="P18" s="2">
        <f>IF(P$12&gt;$A18,IF(P$12=1,5,MAX($B$4-ROUNDDOWN((SQRT($B$5*(P$12+$B$7)+$B$6*($A18+$B$8)))/2,0),1)),"")</f>
      </c>
      <c r="Q18" s="2">
        <f>IF(Q$12&gt;$A18,IF(Q$12=1,5,MAX($B$4-ROUNDDOWN((SQRT($B$5*(Q$12+$B$7)+$B$6*($A18+$B$8)))/2,0),1)),"")</f>
      </c>
      <c r="R18" s="2">
        <f>IF(R$12&gt;$A18,IF(R$12=1,5,MAX($B$4-ROUNDDOWN((SQRT($B$5*(R$12+$B$7)+$B$6*($A18+$B$8)))/2,0),1)),"")</f>
      </c>
      <c r="S18" s="2">
        <f>IF(S$12&gt;$A18,IF(S$12=1,5,MAX($B$4-ROUNDDOWN((SQRT($B$5*(S$12+$B$7)+$B$6*($A18+$B$8)))/2,0),1)),"")</f>
      </c>
      <c r="T18" s="2">
        <f>IF(T$12&gt;$A18,IF(T$12=1,5,MAX($B$4-ROUNDDOWN((SQRT($B$5*(T$12+$B$7)+$B$6*($A18+$B$8)))/2,0),1)),"")</f>
      </c>
      <c r="U18" s="2">
        <f>IF(U$12&gt;$A18,IF(U$12=1,5,MAX($B$4-ROUNDDOWN((SQRT($B$5*(U$12+$B$7)+$B$6*($A18+$B$8)))/2,0),1)),"")</f>
      </c>
      <c r="V18" s="2">
        <f>IF(V$12&gt;$A18,IF(V$12=1,5,MAX($B$4-ROUNDDOWN((SQRT($B$5*(V$12+$B$7)+$B$6*($A18+$B$8)))/2,0),1)),"")</f>
      </c>
      <c r="W18" s="2">
        <f>IF(W$12&gt;$A18,IF(W$12=1,5,MAX($B$4-ROUNDDOWN((SQRT($B$5*(W$12+$B$7)+$B$6*($A18+$B$8)))/2,0),1)),"")</f>
      </c>
      <c r="X18" s="2">
        <f>IF(X$12&gt;$A18,IF(X$12=1,5,MAX($B$4-ROUNDDOWN((SQRT($B$5*(X$12+$B$7)+$B$6*($A18+$B$8)))/2,0),1)),"")</f>
      </c>
      <c r="Y18" s="2">
        <f>IF(Y$12&gt;$A18,IF(Y$12=1,5,MAX($B$4-ROUNDDOWN((SQRT($B$5*(Y$12+$B$7)+$B$6*($A18+$B$8)))/2,0),1)),"")</f>
      </c>
      <c r="Z18" s="2">
        <f>IF(Z$12&gt;$A18,IF(Z$12=1,5,MAX($B$4-ROUNDDOWN((SQRT($B$5*(Z$12+$B$7)+$B$6*($A18+$B$8)))/2,0),1)),"")</f>
      </c>
      <c r="AA18" s="2">
        <f>IF(AA$12&gt;$A18,IF(AA$12=1,5,MAX($B$4-ROUNDDOWN((SQRT($B$5*(AA$12+$B$7)+$B$6*($A18+$B$8)))/2,0),1)),"")</f>
      </c>
      <c r="AB18" s="2">
        <f>IF(AB$12&gt;$A18,IF(AB$12=1,5,MAX($B$4-ROUNDDOWN((SQRT($B$5*(AB$12+$B$7)+$B$6*($A18+$B$8)))/2,0),1)),"")</f>
      </c>
    </row>
    <row x14ac:dyDescent="0.25" r="19" customHeight="1" ht="18.75">
      <c r="A19" s="2">
        <v>6</v>
      </c>
      <c r="B19" s="3">
        <f>IF(B$12&gt;$A19,IF(B$12=1,5,MAX($B$4-ROUNDDOWN((SQRT($B$5*(B$12+$B$7)+$B$6*($A19+$B$8)))/2,0),1)),"")</f>
      </c>
      <c r="C19" s="3">
        <f>IF(C$12&gt;$A19,IF(C$12=1,5,MAX($B$4-ROUNDDOWN((SQRT($B$5*(C$12+$B$7)+$B$6*($A19+$B$8)))/2,0),1)),"")</f>
      </c>
      <c r="D19" s="3">
        <f>IF(D$12&gt;$A19,IF(D$12=1,5,MAX($B$4-ROUNDDOWN((SQRT($B$5*(D$12+$B$7)+$B$6*($A19+$B$8)))/2,0),1)),"")</f>
      </c>
      <c r="E19" s="3">
        <f>IF(E$12&gt;$A19,IF(E$12=1,5,MAX($B$4-ROUNDDOWN((SQRT($B$5*(E$12+$B$7)+$B$6*($A19+$B$8)))/2,0),1)),"")</f>
      </c>
      <c r="F19" s="3">
        <f>IF(F$12&gt;$A19,IF(F$12=1,5,MAX($B$4-ROUNDDOWN((SQRT($B$5*(F$12+$B$7)+$B$6*($A19+$B$8)))/2,0),1)),"")</f>
      </c>
      <c r="G19" s="3">
        <f>IF(G$12&gt;$A19,IF(G$12=1,5,MAX($B$4-ROUNDDOWN((SQRT($B$5*(G$12+$B$7)+$B$6*($A19+$B$8)))/2,0),1)),"")</f>
      </c>
      <c r="H19" s="2">
        <f>IF(H$12&gt;$A19,IF(H$12=1,5,MAX($B$4-ROUNDDOWN((SQRT($B$5*(H$12+$B$7)+$B$6*($A19+$B$8)))/2,0),1)),"")</f>
      </c>
      <c r="I19" s="2">
        <f>IF(I$12&gt;$A19,IF(I$12=1,5,MAX($B$4-ROUNDDOWN((SQRT($B$5*(I$12+$B$7)+$B$6*($A19+$B$8)))/2,0),1)),"")</f>
      </c>
      <c r="J19" s="2">
        <f>IF(J$12&gt;$A19,IF(J$12=1,5,MAX($B$4-ROUNDDOWN((SQRT($B$5*(J$12+$B$7)+$B$6*($A19+$B$8)))/2,0),1)),"")</f>
      </c>
      <c r="K19" s="2">
        <f>IF(K$12&gt;$A19,IF(K$12=1,5,MAX($B$4-ROUNDDOWN((SQRT($B$5*(K$12+$B$7)+$B$6*($A19+$B$8)))/2,0),1)),"")</f>
      </c>
      <c r="L19" s="2">
        <f>IF(L$12&gt;$A19,IF(L$12=1,5,MAX($B$4-ROUNDDOWN((SQRT($B$5*(L$12+$B$7)+$B$6*($A19+$B$8)))/2,0),1)),"")</f>
      </c>
      <c r="M19" s="2">
        <f>IF(M$12&gt;$A19,IF(M$12=1,5,MAX($B$4-ROUNDDOWN((SQRT($B$5*(M$12+$B$7)+$B$6*($A19+$B$8)))/2,0),1)),"")</f>
      </c>
      <c r="N19" s="2">
        <f>IF(N$12&gt;$A19,IF(N$12=1,5,MAX($B$4-ROUNDDOWN((SQRT($B$5*(N$12+$B$7)+$B$6*($A19+$B$8)))/2,0),1)),"")</f>
      </c>
      <c r="O19" s="2">
        <f>IF(O$12&gt;$A19,IF(O$12=1,5,MAX($B$4-ROUNDDOWN((SQRT($B$5*(O$12+$B$7)+$B$6*($A19+$B$8)))/2,0),1)),"")</f>
      </c>
      <c r="P19" s="2">
        <f>IF(P$12&gt;$A19,IF(P$12=1,5,MAX($B$4-ROUNDDOWN((SQRT($B$5*(P$12+$B$7)+$B$6*($A19+$B$8)))/2,0),1)),"")</f>
      </c>
      <c r="Q19" s="2">
        <f>IF(Q$12&gt;$A19,IF(Q$12=1,5,MAX($B$4-ROUNDDOWN((SQRT($B$5*(Q$12+$B$7)+$B$6*($A19+$B$8)))/2,0),1)),"")</f>
      </c>
      <c r="R19" s="2">
        <f>IF(R$12&gt;$A19,IF(R$12=1,5,MAX($B$4-ROUNDDOWN((SQRT($B$5*(R$12+$B$7)+$B$6*($A19+$B$8)))/2,0),1)),"")</f>
      </c>
      <c r="S19" s="2">
        <f>IF(S$12&gt;$A19,IF(S$12=1,5,MAX($B$4-ROUNDDOWN((SQRT($B$5*(S$12+$B$7)+$B$6*($A19+$B$8)))/2,0),1)),"")</f>
      </c>
      <c r="T19" s="2">
        <f>IF(T$12&gt;$A19,IF(T$12=1,5,MAX($B$4-ROUNDDOWN((SQRT($B$5*(T$12+$B$7)+$B$6*($A19+$B$8)))/2,0),1)),"")</f>
      </c>
      <c r="U19" s="2">
        <f>IF(U$12&gt;$A19,IF(U$12=1,5,MAX($B$4-ROUNDDOWN((SQRT($B$5*(U$12+$B$7)+$B$6*($A19+$B$8)))/2,0),1)),"")</f>
      </c>
      <c r="V19" s="2">
        <f>IF(V$12&gt;$A19,IF(V$12=1,5,MAX($B$4-ROUNDDOWN((SQRT($B$5*(V$12+$B$7)+$B$6*($A19+$B$8)))/2,0),1)),"")</f>
      </c>
      <c r="W19" s="2">
        <f>IF(W$12&gt;$A19,IF(W$12=1,5,MAX($B$4-ROUNDDOWN((SQRT($B$5*(W$12+$B$7)+$B$6*($A19+$B$8)))/2,0),1)),"")</f>
      </c>
      <c r="X19" s="2">
        <f>IF(X$12&gt;$A19,IF(X$12=1,5,MAX($B$4-ROUNDDOWN((SQRT($B$5*(X$12+$B$7)+$B$6*($A19+$B$8)))/2,0),1)),"")</f>
      </c>
      <c r="Y19" s="2">
        <f>IF(Y$12&gt;$A19,IF(Y$12=1,5,MAX($B$4-ROUNDDOWN((SQRT($B$5*(Y$12+$B$7)+$B$6*($A19+$B$8)))/2,0),1)),"")</f>
      </c>
      <c r="Z19" s="2">
        <f>IF(Z$12&gt;$A19,IF(Z$12=1,5,MAX($B$4-ROUNDDOWN((SQRT($B$5*(Z$12+$B$7)+$B$6*($A19+$B$8)))/2,0),1)),"")</f>
      </c>
      <c r="AA19" s="2">
        <f>IF(AA$12&gt;$A19,IF(AA$12=1,5,MAX($B$4-ROUNDDOWN((SQRT($B$5*(AA$12+$B$7)+$B$6*($A19+$B$8)))/2,0),1)),"")</f>
      </c>
      <c r="AB19" s="2">
        <f>IF(AB$12&gt;$A19,IF(AB$12=1,5,MAX($B$4-ROUNDDOWN((SQRT($B$5*(AB$12+$B$7)+$B$6*($A19+$B$8)))/2,0),1)),"")</f>
      </c>
    </row>
    <row x14ac:dyDescent="0.25" r="20" customHeight="1" ht="18.75">
      <c r="A20" s="2">
        <v>7</v>
      </c>
      <c r="B20" s="3">
        <f>IF(B$12&gt;$A20,IF(B$12=1,5,MAX($B$4-ROUNDDOWN((SQRT($B$5*(B$12+$B$7)+$B$6*($A20+$B$8)))/2,0),1)),"")</f>
      </c>
      <c r="C20" s="3">
        <f>IF(C$12&gt;$A20,IF(C$12=1,5,MAX($B$4-ROUNDDOWN((SQRT($B$5*(C$12+$B$7)+$B$6*($A20+$B$8)))/2,0),1)),"")</f>
      </c>
      <c r="D20" s="3">
        <f>IF(D$12&gt;$A20,IF(D$12=1,5,MAX($B$4-ROUNDDOWN((SQRT($B$5*(D$12+$B$7)+$B$6*($A20+$B$8)))/2,0),1)),"")</f>
      </c>
      <c r="E20" s="3">
        <f>IF(E$12&gt;$A20,IF(E$12=1,5,MAX($B$4-ROUNDDOWN((SQRT($B$5*(E$12+$B$7)+$B$6*($A20+$B$8)))/2,0),1)),"")</f>
      </c>
      <c r="F20" s="3">
        <f>IF(F$12&gt;$A20,IF(F$12=1,5,MAX($B$4-ROUNDDOWN((SQRT($B$5*(F$12+$B$7)+$B$6*($A20+$B$8)))/2,0),1)),"")</f>
      </c>
      <c r="G20" s="3">
        <f>IF(G$12&gt;$A20,IF(G$12=1,5,MAX($B$4-ROUNDDOWN((SQRT($B$5*(G$12+$B$7)+$B$6*($A20+$B$8)))/2,0),1)),"")</f>
      </c>
      <c r="H20" s="3">
        <f>IF(H$12&gt;$A20,IF(H$12=1,5,MAX($B$4-ROUNDDOWN((SQRT($B$5*(H$12+$B$7)+$B$6*($A20+$B$8)))/2,0),1)),"")</f>
      </c>
      <c r="I20" s="2">
        <f>IF(I$12&gt;$A20,IF(I$12=1,5,MAX($B$4-ROUNDDOWN((SQRT($B$5*(I$12+$B$7)+$B$6*($A20+$B$8)))/2,0),1)),"")</f>
      </c>
      <c r="J20" s="2">
        <f>IF(J$12&gt;$A20,IF(J$12=1,5,MAX($B$4-ROUNDDOWN((SQRT($B$5*(J$12+$B$7)+$B$6*($A20+$B$8)))/2,0),1)),"")</f>
      </c>
      <c r="K20" s="2">
        <f>IF(K$12&gt;$A20,IF(K$12=1,5,MAX($B$4-ROUNDDOWN((SQRT($B$5*(K$12+$B$7)+$B$6*($A20+$B$8)))/2,0),1)),"")</f>
      </c>
      <c r="L20" s="2">
        <f>IF(L$12&gt;$A20,IF(L$12=1,5,MAX($B$4-ROUNDDOWN((SQRT($B$5*(L$12+$B$7)+$B$6*($A20+$B$8)))/2,0),1)),"")</f>
      </c>
      <c r="M20" s="2">
        <f>IF(M$12&gt;$A20,IF(M$12=1,5,MAX($B$4-ROUNDDOWN((SQRT($B$5*(M$12+$B$7)+$B$6*($A20+$B$8)))/2,0),1)),"")</f>
      </c>
      <c r="N20" s="2">
        <f>IF(N$12&gt;$A20,IF(N$12=1,5,MAX($B$4-ROUNDDOWN((SQRT($B$5*(N$12+$B$7)+$B$6*($A20+$B$8)))/2,0),1)),"")</f>
      </c>
      <c r="O20" s="2">
        <f>IF(O$12&gt;$A20,IF(O$12=1,5,MAX($B$4-ROUNDDOWN((SQRT($B$5*(O$12+$B$7)+$B$6*($A20+$B$8)))/2,0),1)),"")</f>
      </c>
      <c r="P20" s="2">
        <f>IF(P$12&gt;$A20,IF(P$12=1,5,MAX($B$4-ROUNDDOWN((SQRT($B$5*(P$12+$B$7)+$B$6*($A20+$B$8)))/2,0),1)),"")</f>
      </c>
      <c r="Q20" s="2">
        <f>IF(Q$12&gt;$A20,IF(Q$12=1,5,MAX($B$4-ROUNDDOWN((SQRT($B$5*(Q$12+$B$7)+$B$6*($A20+$B$8)))/2,0),1)),"")</f>
      </c>
      <c r="R20" s="2">
        <f>IF(R$12&gt;$A20,IF(R$12=1,5,MAX($B$4-ROUNDDOWN((SQRT($B$5*(R$12+$B$7)+$B$6*($A20+$B$8)))/2,0),1)),"")</f>
      </c>
      <c r="S20" s="2">
        <f>IF(S$12&gt;$A20,IF(S$12=1,5,MAX($B$4-ROUNDDOWN((SQRT($B$5*(S$12+$B$7)+$B$6*($A20+$B$8)))/2,0),1)),"")</f>
      </c>
      <c r="T20" s="2">
        <f>IF(T$12&gt;$A20,IF(T$12=1,5,MAX($B$4-ROUNDDOWN((SQRT($B$5*(T$12+$B$7)+$B$6*($A20+$B$8)))/2,0),1)),"")</f>
      </c>
      <c r="U20" s="2">
        <f>IF(U$12&gt;$A20,IF(U$12=1,5,MAX($B$4-ROUNDDOWN((SQRT($B$5*(U$12+$B$7)+$B$6*($A20+$B$8)))/2,0),1)),"")</f>
      </c>
      <c r="V20" s="2">
        <f>IF(V$12&gt;$A20,IF(V$12=1,5,MAX($B$4-ROUNDDOWN((SQRT($B$5*(V$12+$B$7)+$B$6*($A20+$B$8)))/2,0),1)),"")</f>
      </c>
      <c r="W20" s="2">
        <f>IF(W$12&gt;$A20,IF(W$12=1,5,MAX($B$4-ROUNDDOWN((SQRT($B$5*(W$12+$B$7)+$B$6*($A20+$B$8)))/2,0),1)),"")</f>
      </c>
      <c r="X20" s="2">
        <f>IF(X$12&gt;$A20,IF(X$12=1,5,MAX($B$4-ROUNDDOWN((SQRT($B$5*(X$12+$B$7)+$B$6*($A20+$B$8)))/2,0),1)),"")</f>
      </c>
      <c r="Y20" s="2">
        <f>IF(Y$12&gt;$A20,IF(Y$12=1,5,MAX($B$4-ROUNDDOWN((SQRT($B$5*(Y$12+$B$7)+$B$6*($A20+$B$8)))/2,0),1)),"")</f>
      </c>
      <c r="Z20" s="2">
        <f>IF(Z$12&gt;$A20,IF(Z$12=1,5,MAX($B$4-ROUNDDOWN((SQRT($B$5*(Z$12+$B$7)+$B$6*($A20+$B$8)))/2,0),1)),"")</f>
      </c>
      <c r="AA20" s="2">
        <f>IF(AA$12&gt;$A20,IF(AA$12=1,5,MAX($B$4-ROUNDDOWN((SQRT($B$5*(AA$12+$B$7)+$B$6*($A20+$B$8)))/2,0),1)),"")</f>
      </c>
      <c r="AB20" s="2">
        <f>IF(AB$12&gt;$A20,IF(AB$12=1,5,MAX($B$4-ROUNDDOWN((SQRT($B$5*(AB$12+$B$7)+$B$6*($A20+$B$8)))/2,0),1)),"")</f>
      </c>
    </row>
    <row x14ac:dyDescent="0.25" r="21" customHeight="1" ht="18.75">
      <c r="A21" s="2">
        <v>8</v>
      </c>
      <c r="B21" s="3">
        <f>IF(B$12&gt;$A21,IF(B$12=1,5,MAX($B$4-ROUNDDOWN((SQRT($B$5*(B$12+$B$7)+$B$6*($A21+$B$8)))/2,0),1)),"")</f>
      </c>
      <c r="C21" s="3">
        <f>IF(C$12&gt;$A21,IF(C$12=1,5,MAX($B$4-ROUNDDOWN((SQRT($B$5*(C$12+$B$7)+$B$6*($A21+$B$8)))/2,0),1)),"")</f>
      </c>
      <c r="D21" s="3">
        <f>IF(D$12&gt;$A21,IF(D$12=1,5,MAX($B$4-ROUNDDOWN((SQRT($B$5*(D$12+$B$7)+$B$6*($A21+$B$8)))/2,0),1)),"")</f>
      </c>
      <c r="E21" s="3">
        <f>IF(E$12&gt;$A21,IF(E$12=1,5,MAX($B$4-ROUNDDOWN((SQRT($B$5*(E$12+$B$7)+$B$6*($A21+$B$8)))/2,0),1)),"")</f>
      </c>
      <c r="F21" s="3">
        <f>IF(F$12&gt;$A21,IF(F$12=1,5,MAX($B$4-ROUNDDOWN((SQRT($B$5*(F$12+$B$7)+$B$6*($A21+$B$8)))/2,0),1)),"")</f>
      </c>
      <c r="G21" s="3">
        <f>IF(G$12&gt;$A21,IF(G$12=1,5,MAX($B$4-ROUNDDOWN((SQRT($B$5*(G$12+$B$7)+$B$6*($A21+$B$8)))/2,0),1)),"")</f>
      </c>
      <c r="H21" s="3">
        <f>IF(H$12&gt;$A21,IF(H$12=1,5,MAX($B$4-ROUNDDOWN((SQRT($B$5*(H$12+$B$7)+$B$6*($A21+$B$8)))/2,0),1)),"")</f>
      </c>
      <c r="I21" s="3">
        <f>IF(I$12&gt;$A21,IF(I$12=1,5,MAX($B$4-ROUNDDOWN((SQRT($B$5*(I$12+$B$7)+$B$6*($A21+$B$8)))/2,0),1)),"")</f>
      </c>
      <c r="J21" s="2">
        <f>IF(J$12&gt;$A21,IF(J$12=1,5,MAX($B$4-ROUNDDOWN((SQRT($B$5*(J$12+$B$7)+$B$6*($A21+$B$8)))/2,0),1)),"")</f>
      </c>
      <c r="K21" s="2">
        <f>IF(K$12&gt;$A21,IF(K$12=1,5,MAX($B$4-ROUNDDOWN((SQRT($B$5*(K$12+$B$7)+$B$6*($A21+$B$8)))/2,0),1)),"")</f>
      </c>
      <c r="L21" s="2">
        <f>IF(L$12&gt;$A21,IF(L$12=1,5,MAX($B$4-ROUNDDOWN((SQRT($B$5*(L$12+$B$7)+$B$6*($A21+$B$8)))/2,0),1)),"")</f>
      </c>
      <c r="M21" s="2">
        <f>IF(M$12&gt;$A21,IF(M$12=1,5,MAX($B$4-ROUNDDOWN((SQRT($B$5*(M$12+$B$7)+$B$6*($A21+$B$8)))/2,0),1)),"")</f>
      </c>
      <c r="N21" s="2">
        <f>IF(N$12&gt;$A21,IF(N$12=1,5,MAX($B$4-ROUNDDOWN((SQRT($B$5*(N$12+$B$7)+$B$6*($A21+$B$8)))/2,0),1)),"")</f>
      </c>
      <c r="O21" s="2">
        <f>IF(O$12&gt;$A21,IF(O$12=1,5,MAX($B$4-ROUNDDOWN((SQRT($B$5*(O$12+$B$7)+$B$6*($A21+$B$8)))/2,0),1)),"")</f>
      </c>
      <c r="P21" s="2">
        <f>IF(P$12&gt;$A21,IF(P$12=1,5,MAX($B$4-ROUNDDOWN((SQRT($B$5*(P$12+$B$7)+$B$6*($A21+$B$8)))/2,0),1)),"")</f>
      </c>
      <c r="Q21" s="2">
        <f>IF(Q$12&gt;$A21,IF(Q$12=1,5,MAX($B$4-ROUNDDOWN((SQRT($B$5*(Q$12+$B$7)+$B$6*($A21+$B$8)))/2,0),1)),"")</f>
      </c>
      <c r="R21" s="2">
        <f>IF(R$12&gt;$A21,IF(R$12=1,5,MAX($B$4-ROUNDDOWN((SQRT($B$5*(R$12+$B$7)+$B$6*($A21+$B$8)))/2,0),1)),"")</f>
      </c>
      <c r="S21" s="2">
        <f>IF(S$12&gt;$A21,IF(S$12=1,5,MAX($B$4-ROUNDDOWN((SQRT($B$5*(S$12+$B$7)+$B$6*($A21+$B$8)))/2,0),1)),"")</f>
      </c>
      <c r="T21" s="2">
        <f>IF(T$12&gt;$A21,IF(T$12=1,5,MAX($B$4-ROUNDDOWN((SQRT($B$5*(T$12+$B$7)+$B$6*($A21+$B$8)))/2,0),1)),"")</f>
      </c>
      <c r="U21" s="2">
        <f>IF(U$12&gt;$A21,IF(U$12=1,5,MAX($B$4-ROUNDDOWN((SQRT($B$5*(U$12+$B$7)+$B$6*($A21+$B$8)))/2,0),1)),"")</f>
      </c>
      <c r="V21" s="2">
        <f>IF(V$12&gt;$A21,IF(V$12=1,5,MAX($B$4-ROUNDDOWN((SQRT($B$5*(V$12+$B$7)+$B$6*($A21+$B$8)))/2,0),1)),"")</f>
      </c>
      <c r="W21" s="2">
        <f>IF(W$12&gt;$A21,IF(W$12=1,5,MAX($B$4-ROUNDDOWN((SQRT($B$5*(W$12+$B$7)+$B$6*($A21+$B$8)))/2,0),1)),"")</f>
      </c>
      <c r="X21" s="2">
        <f>IF(X$12&gt;$A21,IF(X$12=1,5,MAX($B$4-ROUNDDOWN((SQRT($B$5*(X$12+$B$7)+$B$6*($A21+$B$8)))/2,0),1)),"")</f>
      </c>
      <c r="Y21" s="2">
        <f>IF(Y$12&gt;$A21,IF(Y$12=1,5,MAX($B$4-ROUNDDOWN((SQRT($B$5*(Y$12+$B$7)+$B$6*($A21+$B$8)))/2,0),1)),"")</f>
      </c>
      <c r="Z21" s="2">
        <f>IF(Z$12&gt;$A21,IF(Z$12=1,5,MAX($B$4-ROUNDDOWN((SQRT($B$5*(Z$12+$B$7)+$B$6*($A21+$B$8)))/2,0),1)),"")</f>
      </c>
      <c r="AA21" s="2">
        <f>IF(AA$12&gt;$A21,IF(AA$12=1,5,MAX($B$4-ROUNDDOWN((SQRT($B$5*(AA$12+$B$7)+$B$6*($A21+$B$8)))/2,0),1)),"")</f>
      </c>
      <c r="AB21" s="2">
        <f>IF(AB$12&gt;$A21,IF(AB$12=1,5,MAX($B$4-ROUNDDOWN((SQRT($B$5*(AB$12+$B$7)+$B$6*($A21+$B$8)))/2,0),1)),"")</f>
      </c>
    </row>
    <row x14ac:dyDescent="0.25" r="22" customHeight="1" ht="18.75">
      <c r="A22" s="2">
        <v>9</v>
      </c>
      <c r="B22" s="3">
        <f>IF(B$12&gt;$A22,IF(B$12=1,5,MAX($B$4-ROUNDDOWN((SQRT($B$5*(B$12+$B$7)+$B$6*($A22+$B$8)))/2,0),1)),"")</f>
      </c>
      <c r="C22" s="3">
        <f>IF(C$12&gt;$A22,IF(C$12=1,5,MAX($B$4-ROUNDDOWN((SQRT($B$5*(C$12+$B$7)+$B$6*($A22+$B$8)))/2,0),1)),"")</f>
      </c>
      <c r="D22" s="3">
        <f>IF(D$12&gt;$A22,IF(D$12=1,5,MAX($B$4-ROUNDDOWN((SQRT($B$5*(D$12+$B$7)+$B$6*($A22+$B$8)))/2,0),1)),"")</f>
      </c>
      <c r="E22" s="3">
        <f>IF(E$12&gt;$A22,IF(E$12=1,5,MAX($B$4-ROUNDDOWN((SQRT($B$5*(E$12+$B$7)+$B$6*($A22+$B$8)))/2,0),1)),"")</f>
      </c>
      <c r="F22" s="3">
        <f>IF(F$12&gt;$A22,IF(F$12=1,5,MAX($B$4-ROUNDDOWN((SQRT($B$5*(F$12+$B$7)+$B$6*($A22+$B$8)))/2,0),1)),"")</f>
      </c>
      <c r="G22" s="3">
        <f>IF(G$12&gt;$A22,IF(G$12=1,5,MAX($B$4-ROUNDDOWN((SQRT($B$5*(G$12+$B$7)+$B$6*($A22+$B$8)))/2,0),1)),"")</f>
      </c>
      <c r="H22" s="3">
        <f>IF(H$12&gt;$A22,IF(H$12=1,5,MAX($B$4-ROUNDDOWN((SQRT($B$5*(H$12+$B$7)+$B$6*($A22+$B$8)))/2,0),1)),"")</f>
      </c>
      <c r="I22" s="3">
        <f>IF(I$12&gt;$A22,IF(I$12=1,5,MAX($B$4-ROUNDDOWN((SQRT($B$5*(I$12+$B$7)+$B$6*($A22+$B$8)))/2,0),1)),"")</f>
      </c>
      <c r="J22" s="3">
        <f>IF(J$12&gt;$A22,IF(J$12=1,5,MAX($B$4-ROUNDDOWN((SQRT($B$5*(J$12+$B$7)+$B$6*($A22+$B$8)))/2,0),1)),"")</f>
      </c>
      <c r="K22" s="2">
        <f>IF(K$12&gt;$A22,IF(K$12=1,5,MAX($B$4-ROUNDDOWN((SQRT($B$5*(K$12+$B$7)+$B$6*($A22+$B$8)))/2,0),1)),"")</f>
      </c>
      <c r="L22" s="2">
        <f>IF(L$12&gt;$A22,IF(L$12=1,5,MAX($B$4-ROUNDDOWN((SQRT($B$5*(L$12+$B$7)+$B$6*($A22+$B$8)))/2,0),1)),"")</f>
      </c>
      <c r="M22" s="2">
        <f>IF(M$12&gt;$A22,IF(M$12=1,5,MAX($B$4-ROUNDDOWN((SQRT($B$5*(M$12+$B$7)+$B$6*($A22+$B$8)))/2,0),1)),"")</f>
      </c>
      <c r="N22" s="2">
        <f>IF(N$12&gt;$A22,IF(N$12=1,5,MAX($B$4-ROUNDDOWN((SQRT($B$5*(N$12+$B$7)+$B$6*($A22+$B$8)))/2,0),1)),"")</f>
      </c>
      <c r="O22" s="2">
        <f>IF(O$12&gt;$A22,IF(O$12=1,5,MAX($B$4-ROUNDDOWN((SQRT($B$5*(O$12+$B$7)+$B$6*($A22+$B$8)))/2,0),1)),"")</f>
      </c>
      <c r="P22" s="2">
        <f>IF(P$12&gt;$A22,IF(P$12=1,5,MAX($B$4-ROUNDDOWN((SQRT($B$5*(P$12+$B$7)+$B$6*($A22+$B$8)))/2,0),1)),"")</f>
      </c>
      <c r="Q22" s="2">
        <f>IF(Q$12&gt;$A22,IF(Q$12=1,5,MAX($B$4-ROUNDDOWN((SQRT($B$5*(Q$12+$B$7)+$B$6*($A22+$B$8)))/2,0),1)),"")</f>
      </c>
      <c r="R22" s="2">
        <f>IF(R$12&gt;$A22,IF(R$12=1,5,MAX($B$4-ROUNDDOWN((SQRT($B$5*(R$12+$B$7)+$B$6*($A22+$B$8)))/2,0),1)),"")</f>
      </c>
      <c r="S22" s="2">
        <f>IF(S$12&gt;$A22,IF(S$12=1,5,MAX($B$4-ROUNDDOWN((SQRT($B$5*(S$12+$B$7)+$B$6*($A22+$B$8)))/2,0),1)),"")</f>
      </c>
      <c r="T22" s="2">
        <f>IF(T$12&gt;$A22,IF(T$12=1,5,MAX($B$4-ROUNDDOWN((SQRT($B$5*(T$12+$B$7)+$B$6*($A22+$B$8)))/2,0),1)),"")</f>
      </c>
      <c r="U22" s="2">
        <f>IF(U$12&gt;$A22,IF(U$12=1,5,MAX($B$4-ROUNDDOWN((SQRT($B$5*(U$12+$B$7)+$B$6*($A22+$B$8)))/2,0),1)),"")</f>
      </c>
      <c r="V22" s="2">
        <f>IF(V$12&gt;$A22,IF(V$12=1,5,MAX($B$4-ROUNDDOWN((SQRT($B$5*(V$12+$B$7)+$B$6*($A22+$B$8)))/2,0),1)),"")</f>
      </c>
      <c r="W22" s="2">
        <f>IF(W$12&gt;$A22,IF(W$12=1,5,MAX($B$4-ROUNDDOWN((SQRT($B$5*(W$12+$B$7)+$B$6*($A22+$B$8)))/2,0),1)),"")</f>
      </c>
      <c r="X22" s="2">
        <f>IF(X$12&gt;$A22,IF(X$12=1,5,MAX($B$4-ROUNDDOWN((SQRT($B$5*(X$12+$B$7)+$B$6*($A22+$B$8)))/2,0),1)),"")</f>
      </c>
      <c r="Y22" s="2">
        <f>IF(Y$12&gt;$A22,IF(Y$12=1,5,MAX($B$4-ROUNDDOWN((SQRT($B$5*(Y$12+$B$7)+$B$6*($A22+$B$8)))/2,0),1)),"")</f>
      </c>
      <c r="Z22" s="2">
        <f>IF(Z$12&gt;$A22,IF(Z$12=1,5,MAX($B$4-ROUNDDOWN((SQRT($B$5*(Z$12+$B$7)+$B$6*($A22+$B$8)))/2,0),1)),"")</f>
      </c>
      <c r="AA22" s="2">
        <f>IF(AA$12&gt;$A22,IF(AA$12=1,5,MAX($B$4-ROUNDDOWN((SQRT($B$5*(AA$12+$B$7)+$B$6*($A22+$B$8)))/2,0),1)),"")</f>
      </c>
      <c r="AB22" s="2">
        <f>IF(AB$12&gt;$A22,IF(AB$12=1,5,MAX($B$4-ROUNDDOWN((SQRT($B$5*(AB$12+$B$7)+$B$6*($A22+$B$8)))/2,0),1)),"")</f>
      </c>
    </row>
    <row x14ac:dyDescent="0.25" r="23" customHeight="1" ht="18.75">
      <c r="A23" s="2">
        <v>10</v>
      </c>
      <c r="B23" s="3">
        <f>IF(B$12&gt;$A23,IF(B$12=1,5,MAX($B$4-ROUNDDOWN((SQRT($B$5*(B$12+$B$7)+$B$6*($A23+$B$8)))/2,0),1)),"")</f>
      </c>
      <c r="C23" s="3">
        <f>IF(C$12&gt;$A23,IF(C$12=1,5,MAX($B$4-ROUNDDOWN((SQRT($B$5*(C$12+$B$7)+$B$6*($A23+$B$8)))/2,0),1)),"")</f>
      </c>
      <c r="D23" s="3">
        <f>IF(D$12&gt;$A23,IF(D$12=1,5,MAX($B$4-ROUNDDOWN((SQRT($B$5*(D$12+$B$7)+$B$6*($A23+$B$8)))/2,0),1)),"")</f>
      </c>
      <c r="E23" s="3">
        <f>IF(E$12&gt;$A23,IF(E$12=1,5,MAX($B$4-ROUNDDOWN((SQRT($B$5*(E$12+$B$7)+$B$6*($A23+$B$8)))/2,0),1)),"")</f>
      </c>
      <c r="F23" s="3">
        <f>IF(F$12&gt;$A23,IF(F$12=1,5,MAX($B$4-ROUNDDOWN((SQRT($B$5*(F$12+$B$7)+$B$6*($A23+$B$8)))/2,0),1)),"")</f>
      </c>
      <c r="G23" s="3">
        <f>IF(G$12&gt;$A23,IF(G$12=1,5,MAX($B$4-ROUNDDOWN((SQRT($B$5*(G$12+$B$7)+$B$6*($A23+$B$8)))/2,0),1)),"")</f>
      </c>
      <c r="H23" s="3">
        <f>IF(H$12&gt;$A23,IF(H$12=1,5,MAX($B$4-ROUNDDOWN((SQRT($B$5*(H$12+$B$7)+$B$6*($A23+$B$8)))/2,0),1)),"")</f>
      </c>
      <c r="I23" s="3">
        <f>IF(I$12&gt;$A23,IF(I$12=1,5,MAX($B$4-ROUNDDOWN((SQRT($B$5*(I$12+$B$7)+$B$6*($A23+$B$8)))/2,0),1)),"")</f>
      </c>
      <c r="J23" s="3">
        <f>IF(J$12&gt;$A23,IF(J$12=1,5,MAX($B$4-ROUNDDOWN((SQRT($B$5*(J$12+$B$7)+$B$6*($A23+$B$8)))/2,0),1)),"")</f>
      </c>
      <c r="K23" s="3">
        <f>IF(K$12&gt;$A23,IF(K$12=1,5,MAX($B$4-ROUNDDOWN((SQRT($B$5*(K$12+$B$7)+$B$6*($A23+$B$8)))/2,0),1)),"")</f>
      </c>
      <c r="L23" s="2">
        <f>IF(L$12&gt;$A23,IF(L$12=1,5,MAX($B$4-ROUNDDOWN((SQRT($B$5*(L$12+$B$7)+$B$6*($A23+$B$8)))/2,0),1)),"")</f>
      </c>
      <c r="M23" s="2">
        <f>IF(M$12&gt;$A23,IF(M$12=1,5,MAX($B$4-ROUNDDOWN((SQRT($B$5*(M$12+$B$7)+$B$6*($A23+$B$8)))/2,0),1)),"")</f>
      </c>
      <c r="N23" s="2">
        <f>IF(N$12&gt;$A23,IF(N$12=1,5,MAX($B$4-ROUNDDOWN((SQRT($B$5*(N$12+$B$7)+$B$6*($A23+$B$8)))/2,0),1)),"")</f>
      </c>
      <c r="O23" s="2">
        <f>IF(O$12&gt;$A23,IF(O$12=1,5,MAX($B$4-ROUNDDOWN((SQRT($B$5*(O$12+$B$7)+$B$6*($A23+$B$8)))/2,0),1)),"")</f>
      </c>
      <c r="P23" s="2">
        <f>IF(P$12&gt;$A23,IF(P$12=1,5,MAX($B$4-ROUNDDOWN((SQRT($B$5*(P$12+$B$7)+$B$6*($A23+$B$8)))/2,0),1)),"")</f>
      </c>
      <c r="Q23" s="2">
        <f>IF(Q$12&gt;$A23,IF(Q$12=1,5,MAX($B$4-ROUNDDOWN((SQRT($B$5*(Q$12+$B$7)+$B$6*($A23+$B$8)))/2,0),1)),"")</f>
      </c>
      <c r="R23" s="2">
        <f>IF(R$12&gt;$A23,IF(R$12=1,5,MAX($B$4-ROUNDDOWN((SQRT($B$5*(R$12+$B$7)+$B$6*($A23+$B$8)))/2,0),1)),"")</f>
      </c>
      <c r="S23" s="2">
        <f>IF(S$12&gt;$A23,IF(S$12=1,5,MAX($B$4-ROUNDDOWN((SQRT($B$5*(S$12+$B$7)+$B$6*($A23+$B$8)))/2,0),1)),"")</f>
      </c>
      <c r="T23" s="2">
        <f>IF(T$12&gt;$A23,IF(T$12=1,5,MAX($B$4-ROUNDDOWN((SQRT($B$5*(T$12+$B$7)+$B$6*($A23+$B$8)))/2,0),1)),"")</f>
      </c>
      <c r="U23" s="2">
        <f>IF(U$12&gt;$A23,IF(U$12=1,5,MAX($B$4-ROUNDDOWN((SQRT($B$5*(U$12+$B$7)+$B$6*($A23+$B$8)))/2,0),1)),"")</f>
      </c>
      <c r="V23" s="2">
        <f>IF(V$12&gt;$A23,IF(V$12=1,5,MAX($B$4-ROUNDDOWN((SQRT($B$5*(V$12+$B$7)+$B$6*($A23+$B$8)))/2,0),1)),"")</f>
      </c>
      <c r="W23" s="2">
        <f>IF(W$12&gt;$A23,IF(W$12=1,5,MAX($B$4-ROUNDDOWN((SQRT($B$5*(W$12+$B$7)+$B$6*($A23+$B$8)))/2,0),1)),"")</f>
      </c>
      <c r="X23" s="2">
        <f>IF(X$12&gt;$A23,IF(X$12=1,5,MAX($B$4-ROUNDDOWN((SQRT($B$5*(X$12+$B$7)+$B$6*($A23+$B$8)))/2,0),1)),"")</f>
      </c>
      <c r="Y23" s="2">
        <f>IF(Y$12&gt;$A23,IF(Y$12=1,5,MAX($B$4-ROUNDDOWN((SQRT($B$5*(Y$12+$B$7)+$B$6*($A23+$B$8)))/2,0),1)),"")</f>
      </c>
      <c r="Z23" s="2">
        <f>IF(Z$12&gt;$A23,IF(Z$12=1,5,MAX($B$4-ROUNDDOWN((SQRT($B$5*(Z$12+$B$7)+$B$6*($A23+$B$8)))/2,0),1)),"")</f>
      </c>
      <c r="AA23" s="2">
        <f>IF(AA$12&gt;$A23,IF(AA$12=1,5,MAX($B$4-ROUNDDOWN((SQRT($B$5*(AA$12+$B$7)+$B$6*($A23+$B$8)))/2,0),1)),"")</f>
      </c>
      <c r="AB23" s="2">
        <f>IF(AB$12&gt;$A23,IF(AB$12=1,5,MAX($B$4-ROUNDDOWN((SQRT($B$5*(AB$12+$B$7)+$B$6*($A23+$B$8)))/2,0),1)),"")</f>
      </c>
    </row>
    <row x14ac:dyDescent="0.25" r="24" customHeight="1" ht="18.75">
      <c r="A24" s="2">
        <v>11</v>
      </c>
      <c r="B24" s="3">
        <f>IF(B$12&gt;$A24,IF(B$12=1,5,MAX($B$4-ROUNDDOWN((SQRT($B$5*(B$12+$B$7)+$B$6*($A24+$B$8)))/2,0),1)),"")</f>
      </c>
      <c r="C24" s="3">
        <f>IF(C$12&gt;$A24,IF(C$12=1,5,MAX($B$4-ROUNDDOWN((SQRT($B$5*(C$12+$B$7)+$B$6*($A24+$B$8)))/2,0),1)),"")</f>
      </c>
      <c r="D24" s="3">
        <f>IF(D$12&gt;$A24,IF(D$12=1,5,MAX($B$4-ROUNDDOWN((SQRT($B$5*(D$12+$B$7)+$B$6*($A24+$B$8)))/2,0),1)),"")</f>
      </c>
      <c r="E24" s="3">
        <f>IF(E$12&gt;$A24,IF(E$12=1,5,MAX($B$4-ROUNDDOWN((SQRT($B$5*(E$12+$B$7)+$B$6*($A24+$B$8)))/2,0),1)),"")</f>
      </c>
      <c r="F24" s="3">
        <f>IF(F$12&gt;$A24,IF(F$12=1,5,MAX($B$4-ROUNDDOWN((SQRT($B$5*(F$12+$B$7)+$B$6*($A24+$B$8)))/2,0),1)),"")</f>
      </c>
      <c r="G24" s="3">
        <f>IF(G$12&gt;$A24,IF(G$12=1,5,MAX($B$4-ROUNDDOWN((SQRT($B$5*(G$12+$B$7)+$B$6*($A24+$B$8)))/2,0),1)),"")</f>
      </c>
      <c r="H24" s="3">
        <f>IF(H$12&gt;$A24,IF(H$12=1,5,MAX($B$4-ROUNDDOWN((SQRT($B$5*(H$12+$B$7)+$B$6*($A24+$B$8)))/2,0),1)),"")</f>
      </c>
      <c r="I24" s="3">
        <f>IF(I$12&gt;$A24,IF(I$12=1,5,MAX($B$4-ROUNDDOWN((SQRT($B$5*(I$12+$B$7)+$B$6*($A24+$B$8)))/2,0),1)),"")</f>
      </c>
      <c r="J24" s="3">
        <f>IF(J$12&gt;$A24,IF(J$12=1,5,MAX($B$4-ROUNDDOWN((SQRT($B$5*(J$12+$B$7)+$B$6*($A24+$B$8)))/2,0),1)),"")</f>
      </c>
      <c r="K24" s="3">
        <f>IF(K$12&gt;$A24,IF(K$12=1,5,MAX($B$4-ROUNDDOWN((SQRT($B$5*(K$12+$B$7)+$B$6*($A24+$B$8)))/2,0),1)),"")</f>
      </c>
      <c r="L24" s="3">
        <f>IF(L$12&gt;$A24,IF(L$12=1,5,MAX($B$4-ROUNDDOWN((SQRT($B$5*(L$12+$B$7)+$B$6*($A24+$B$8)))/2,0),1)),"")</f>
      </c>
      <c r="M24" s="2">
        <f>IF(M$12&gt;$A24,IF(M$12=1,5,MAX($B$4-ROUNDDOWN((SQRT($B$5*(M$12+$B$7)+$B$6*($A24+$B$8)))/2,0),1)),"")</f>
      </c>
      <c r="N24" s="2">
        <f>IF(N$12&gt;$A24,IF(N$12=1,5,MAX($B$4-ROUNDDOWN((SQRT($B$5*(N$12+$B$7)+$B$6*($A24+$B$8)))/2,0),1)),"")</f>
      </c>
      <c r="O24" s="2">
        <f>IF(O$12&gt;$A24,IF(O$12=1,5,MAX($B$4-ROUNDDOWN((SQRT($B$5*(O$12+$B$7)+$B$6*($A24+$B$8)))/2,0),1)),"")</f>
      </c>
      <c r="P24" s="2">
        <f>IF(P$12&gt;$A24,IF(P$12=1,5,MAX($B$4-ROUNDDOWN((SQRT($B$5*(P$12+$B$7)+$B$6*($A24+$B$8)))/2,0),1)),"")</f>
      </c>
      <c r="Q24" s="2">
        <f>IF(Q$12&gt;$A24,IF(Q$12=1,5,MAX($B$4-ROUNDDOWN((SQRT($B$5*(Q$12+$B$7)+$B$6*($A24+$B$8)))/2,0),1)),"")</f>
      </c>
      <c r="R24" s="2">
        <f>IF(R$12&gt;$A24,IF(R$12=1,5,MAX($B$4-ROUNDDOWN((SQRT($B$5*(R$12+$B$7)+$B$6*($A24+$B$8)))/2,0),1)),"")</f>
      </c>
      <c r="S24" s="2">
        <f>IF(S$12&gt;$A24,IF(S$12=1,5,MAX($B$4-ROUNDDOWN((SQRT($B$5*(S$12+$B$7)+$B$6*($A24+$B$8)))/2,0),1)),"")</f>
      </c>
      <c r="T24" s="2">
        <f>IF(T$12&gt;$A24,IF(T$12=1,5,MAX($B$4-ROUNDDOWN((SQRT($B$5*(T$12+$B$7)+$B$6*($A24+$B$8)))/2,0),1)),"")</f>
      </c>
      <c r="U24" s="2">
        <f>IF(U$12&gt;$A24,IF(U$12=1,5,MAX($B$4-ROUNDDOWN((SQRT($B$5*(U$12+$B$7)+$B$6*($A24+$B$8)))/2,0),1)),"")</f>
      </c>
      <c r="V24" s="2">
        <f>IF(V$12&gt;$A24,IF(V$12=1,5,MAX($B$4-ROUNDDOWN((SQRT($B$5*(V$12+$B$7)+$B$6*($A24+$B$8)))/2,0),1)),"")</f>
      </c>
      <c r="W24" s="2">
        <f>IF(W$12&gt;$A24,IF(W$12=1,5,MAX($B$4-ROUNDDOWN((SQRT($B$5*(W$12+$B$7)+$B$6*($A24+$B$8)))/2,0),1)),"")</f>
      </c>
      <c r="X24" s="2">
        <f>IF(X$12&gt;$A24,IF(X$12=1,5,MAX($B$4-ROUNDDOWN((SQRT($B$5*(X$12+$B$7)+$B$6*($A24+$B$8)))/2,0),1)),"")</f>
      </c>
      <c r="Y24" s="2">
        <f>IF(Y$12&gt;$A24,IF(Y$12=1,5,MAX($B$4-ROUNDDOWN((SQRT($B$5*(Y$12+$B$7)+$B$6*($A24+$B$8)))/2,0),1)),"")</f>
      </c>
      <c r="Z24" s="2">
        <f>IF(Z$12&gt;$A24,IF(Z$12=1,5,MAX($B$4-ROUNDDOWN((SQRT($B$5*(Z$12+$B$7)+$B$6*($A24+$B$8)))/2,0),1)),"")</f>
      </c>
      <c r="AA24" s="2">
        <f>IF(AA$12&gt;$A24,IF(AA$12=1,5,MAX($B$4-ROUNDDOWN((SQRT($B$5*(AA$12+$B$7)+$B$6*($A24+$B$8)))/2,0),1)),"")</f>
      </c>
      <c r="AB24" s="2">
        <f>IF(AB$12&gt;$A24,IF(AB$12=1,5,MAX($B$4-ROUNDDOWN((SQRT($B$5*(AB$12+$B$7)+$B$6*($A24+$B$8)))/2,0),1)),"")</f>
      </c>
    </row>
    <row x14ac:dyDescent="0.25" r="25" customHeight="1" ht="18.75">
      <c r="A25" s="2">
        <v>12</v>
      </c>
      <c r="B25" s="3">
        <f>IF(B$12&gt;$A25,IF(B$12=1,5,MAX($B$4-ROUNDDOWN((SQRT($B$5*(B$12+$B$7)+$B$6*($A25+$B$8)))/2,0),1)),"")</f>
      </c>
      <c r="C25" s="3">
        <f>IF(C$12&gt;$A25,IF(C$12=1,5,MAX($B$4-ROUNDDOWN((SQRT($B$5*(C$12+$B$7)+$B$6*($A25+$B$8)))/2,0),1)),"")</f>
      </c>
      <c r="D25" s="3">
        <f>IF(D$12&gt;$A25,IF(D$12=1,5,MAX($B$4-ROUNDDOWN((SQRT($B$5*(D$12+$B$7)+$B$6*($A25+$B$8)))/2,0),1)),"")</f>
      </c>
      <c r="E25" s="3">
        <f>IF(E$12&gt;$A25,IF(E$12=1,5,MAX($B$4-ROUNDDOWN((SQRT($B$5*(E$12+$B$7)+$B$6*($A25+$B$8)))/2,0),1)),"")</f>
      </c>
      <c r="F25" s="3">
        <f>IF(F$12&gt;$A25,IF(F$12=1,5,MAX($B$4-ROUNDDOWN((SQRT($B$5*(F$12+$B$7)+$B$6*($A25+$B$8)))/2,0),1)),"")</f>
      </c>
      <c r="G25" s="3">
        <f>IF(G$12&gt;$A25,IF(G$12=1,5,MAX($B$4-ROUNDDOWN((SQRT($B$5*(G$12+$B$7)+$B$6*($A25+$B$8)))/2,0),1)),"")</f>
      </c>
      <c r="H25" s="3">
        <f>IF(H$12&gt;$A25,IF(H$12=1,5,MAX($B$4-ROUNDDOWN((SQRT($B$5*(H$12+$B$7)+$B$6*($A25+$B$8)))/2,0),1)),"")</f>
      </c>
      <c r="I25" s="3">
        <f>IF(I$12&gt;$A25,IF(I$12=1,5,MAX($B$4-ROUNDDOWN((SQRT($B$5*(I$12+$B$7)+$B$6*($A25+$B$8)))/2,0),1)),"")</f>
      </c>
      <c r="J25" s="3">
        <f>IF(J$12&gt;$A25,IF(J$12=1,5,MAX($B$4-ROUNDDOWN((SQRT($B$5*(J$12+$B$7)+$B$6*($A25+$B$8)))/2,0),1)),"")</f>
      </c>
      <c r="K25" s="3">
        <f>IF(K$12&gt;$A25,IF(K$12=1,5,MAX($B$4-ROUNDDOWN((SQRT($B$5*(K$12+$B$7)+$B$6*($A25+$B$8)))/2,0),1)),"")</f>
      </c>
      <c r="L25" s="3">
        <f>IF(L$12&gt;$A25,IF(L$12=1,5,MAX($B$4-ROUNDDOWN((SQRT($B$5*(L$12+$B$7)+$B$6*($A25+$B$8)))/2,0),1)),"")</f>
      </c>
      <c r="M25" s="3">
        <f>IF(M$12&gt;$A25,IF(M$12=1,5,MAX($B$4-ROUNDDOWN((SQRT($B$5*(M$12+$B$7)+$B$6*($A25+$B$8)))/2,0),1)),"")</f>
      </c>
      <c r="N25" s="2">
        <f>IF(N$12&gt;$A25,IF(N$12=1,5,MAX($B$4-ROUNDDOWN((SQRT($B$5*(N$12+$B$7)+$B$6*($A25+$B$8)))/2,0),1)),"")</f>
      </c>
      <c r="O25" s="2">
        <f>IF(O$12&gt;$A25,IF(O$12=1,5,MAX($B$4-ROUNDDOWN((SQRT($B$5*(O$12+$B$7)+$B$6*($A25+$B$8)))/2,0),1)),"")</f>
      </c>
      <c r="P25" s="2">
        <f>IF(P$12&gt;$A25,IF(P$12=1,5,MAX($B$4-ROUNDDOWN((SQRT($B$5*(P$12+$B$7)+$B$6*($A25+$B$8)))/2,0),1)),"")</f>
      </c>
      <c r="Q25" s="2">
        <f>IF(Q$12&gt;$A25,IF(Q$12=1,5,MAX($B$4-ROUNDDOWN((SQRT($B$5*(Q$12+$B$7)+$B$6*($A25+$B$8)))/2,0),1)),"")</f>
      </c>
      <c r="R25" s="2">
        <f>IF(R$12&gt;$A25,IF(R$12=1,5,MAX($B$4-ROUNDDOWN((SQRT($B$5*(R$12+$B$7)+$B$6*($A25+$B$8)))/2,0),1)),"")</f>
      </c>
      <c r="S25" s="2">
        <f>IF(S$12&gt;$A25,IF(S$12=1,5,MAX($B$4-ROUNDDOWN((SQRT($B$5*(S$12+$B$7)+$B$6*($A25+$B$8)))/2,0),1)),"")</f>
      </c>
      <c r="T25" s="2">
        <f>IF(T$12&gt;$A25,IF(T$12=1,5,MAX($B$4-ROUNDDOWN((SQRT($B$5*(T$12+$B$7)+$B$6*($A25+$B$8)))/2,0),1)),"")</f>
      </c>
      <c r="U25" s="2">
        <f>IF(U$12&gt;$A25,IF(U$12=1,5,MAX($B$4-ROUNDDOWN((SQRT($B$5*(U$12+$B$7)+$B$6*($A25+$B$8)))/2,0),1)),"")</f>
      </c>
      <c r="V25" s="2">
        <f>IF(V$12&gt;$A25,IF(V$12=1,5,MAX($B$4-ROUNDDOWN((SQRT($B$5*(V$12+$B$7)+$B$6*($A25+$B$8)))/2,0),1)),"")</f>
      </c>
      <c r="W25" s="2">
        <f>IF(W$12&gt;$A25,IF(W$12=1,5,MAX($B$4-ROUNDDOWN((SQRT($B$5*(W$12+$B$7)+$B$6*($A25+$B$8)))/2,0),1)),"")</f>
      </c>
      <c r="X25" s="2">
        <f>IF(X$12&gt;$A25,IF(X$12=1,5,MAX($B$4-ROUNDDOWN((SQRT($B$5*(X$12+$B$7)+$B$6*($A25+$B$8)))/2,0),1)),"")</f>
      </c>
      <c r="Y25" s="2">
        <f>IF(Y$12&gt;$A25,IF(Y$12=1,5,MAX($B$4-ROUNDDOWN((SQRT($B$5*(Y$12+$B$7)+$B$6*($A25+$B$8)))/2,0),1)),"")</f>
      </c>
      <c r="Z25" s="2">
        <f>IF(Z$12&gt;$A25,IF(Z$12=1,5,MAX($B$4-ROUNDDOWN((SQRT($B$5*(Z$12+$B$7)+$B$6*($A25+$B$8)))/2,0),1)),"")</f>
      </c>
      <c r="AA25" s="2">
        <f>IF(AA$12&gt;$A25,IF(AA$12=1,5,MAX($B$4-ROUNDDOWN((SQRT($B$5*(AA$12+$B$7)+$B$6*($A25+$B$8)))/2,0),1)),"")</f>
      </c>
      <c r="AB25" s="2">
        <f>IF(AB$12&gt;$A25,IF(AB$12=1,5,MAX($B$4-ROUNDDOWN((SQRT($B$5*(AB$12+$B$7)+$B$6*($A25+$B$8)))/2,0),1)),"")</f>
      </c>
    </row>
    <row x14ac:dyDescent="0.25" r="26" customHeight="1" ht="18.75">
      <c r="A26" s="2">
        <v>13</v>
      </c>
      <c r="B26" s="3">
        <f>IF(B$12&gt;$A26,IF(B$12=1,5,MAX($B$4-ROUNDDOWN((SQRT($B$5*(B$12+$B$7)+$B$6*($A26+$B$8)))/2,0),1)),"")</f>
      </c>
      <c r="C26" s="3">
        <f>IF(C$12&gt;$A26,IF(C$12=1,5,MAX($B$4-ROUNDDOWN((SQRT($B$5*(C$12+$B$7)+$B$6*($A26+$B$8)))/2,0),1)),"")</f>
      </c>
      <c r="D26" s="3">
        <f>IF(D$12&gt;$A26,IF(D$12=1,5,MAX($B$4-ROUNDDOWN((SQRT($B$5*(D$12+$B$7)+$B$6*($A26+$B$8)))/2,0),1)),"")</f>
      </c>
      <c r="E26" s="3">
        <f>IF(E$12&gt;$A26,IF(E$12=1,5,MAX($B$4-ROUNDDOWN((SQRT($B$5*(E$12+$B$7)+$B$6*($A26+$B$8)))/2,0),1)),"")</f>
      </c>
      <c r="F26" s="3">
        <f>IF(F$12&gt;$A26,IF(F$12=1,5,MAX($B$4-ROUNDDOWN((SQRT($B$5*(F$12+$B$7)+$B$6*($A26+$B$8)))/2,0),1)),"")</f>
      </c>
      <c r="G26" s="3">
        <f>IF(G$12&gt;$A26,IF(G$12=1,5,MAX($B$4-ROUNDDOWN((SQRT($B$5*(G$12+$B$7)+$B$6*($A26+$B$8)))/2,0),1)),"")</f>
      </c>
      <c r="H26" s="3">
        <f>IF(H$12&gt;$A26,IF(H$12=1,5,MAX($B$4-ROUNDDOWN((SQRT($B$5*(H$12+$B$7)+$B$6*($A26+$B$8)))/2,0),1)),"")</f>
      </c>
      <c r="I26" s="3">
        <f>IF(I$12&gt;$A26,IF(I$12=1,5,MAX($B$4-ROUNDDOWN((SQRT($B$5*(I$12+$B$7)+$B$6*($A26+$B$8)))/2,0),1)),"")</f>
      </c>
      <c r="J26" s="3">
        <f>IF(J$12&gt;$A26,IF(J$12=1,5,MAX($B$4-ROUNDDOWN((SQRT($B$5*(J$12+$B$7)+$B$6*($A26+$B$8)))/2,0),1)),"")</f>
      </c>
      <c r="K26" s="3">
        <f>IF(K$12&gt;$A26,IF(K$12=1,5,MAX($B$4-ROUNDDOWN((SQRT($B$5*(K$12+$B$7)+$B$6*($A26+$B$8)))/2,0),1)),"")</f>
      </c>
      <c r="L26" s="3">
        <f>IF(L$12&gt;$A26,IF(L$12=1,5,MAX($B$4-ROUNDDOWN((SQRT($B$5*(L$12+$B$7)+$B$6*($A26+$B$8)))/2,0),1)),"")</f>
      </c>
      <c r="M26" s="3">
        <f>IF(M$12&gt;$A26,IF(M$12=1,5,MAX($B$4-ROUNDDOWN((SQRT($B$5*(M$12+$B$7)+$B$6*($A26+$B$8)))/2,0),1)),"")</f>
      </c>
      <c r="N26" s="3">
        <f>IF(N$12&gt;$A26,IF(N$12=1,5,MAX($B$4-ROUNDDOWN((SQRT($B$5*(N$12+$B$7)+$B$6*($A26+$B$8)))/2,0),1)),"")</f>
      </c>
      <c r="O26" s="2">
        <f>IF(O$12&gt;$A26,IF(O$12=1,5,MAX($B$4-ROUNDDOWN((SQRT($B$5*(O$12+$B$7)+$B$6*($A26+$B$8)))/2,0),1)),"")</f>
      </c>
      <c r="P26" s="2">
        <f>IF(P$12&gt;$A26,IF(P$12=1,5,MAX($B$4-ROUNDDOWN((SQRT($B$5*(P$12+$B$7)+$B$6*($A26+$B$8)))/2,0),1)),"")</f>
      </c>
      <c r="Q26" s="2">
        <f>IF(Q$12&gt;$A26,IF(Q$12=1,5,MAX($B$4-ROUNDDOWN((SQRT($B$5*(Q$12+$B$7)+$B$6*($A26+$B$8)))/2,0),1)),"")</f>
      </c>
      <c r="R26" s="2">
        <f>IF(R$12&gt;$A26,IF(R$12=1,5,MAX($B$4-ROUNDDOWN((SQRT($B$5*(R$12+$B$7)+$B$6*($A26+$B$8)))/2,0),1)),"")</f>
      </c>
      <c r="S26" s="2">
        <f>IF(S$12&gt;$A26,IF(S$12=1,5,MAX($B$4-ROUNDDOWN((SQRT($B$5*(S$12+$B$7)+$B$6*($A26+$B$8)))/2,0),1)),"")</f>
      </c>
      <c r="T26" s="2">
        <f>IF(T$12&gt;$A26,IF(T$12=1,5,MAX($B$4-ROUNDDOWN((SQRT($B$5*(T$12+$B$7)+$B$6*($A26+$B$8)))/2,0),1)),"")</f>
      </c>
      <c r="U26" s="2">
        <f>IF(U$12&gt;$A26,IF(U$12=1,5,MAX($B$4-ROUNDDOWN((SQRT($B$5*(U$12+$B$7)+$B$6*($A26+$B$8)))/2,0),1)),"")</f>
      </c>
      <c r="V26" s="2">
        <f>IF(V$12&gt;$A26,IF(V$12=1,5,MAX($B$4-ROUNDDOWN((SQRT($B$5*(V$12+$B$7)+$B$6*($A26+$B$8)))/2,0),1)),"")</f>
      </c>
      <c r="W26" s="2">
        <f>IF(W$12&gt;$A26,IF(W$12=1,5,MAX($B$4-ROUNDDOWN((SQRT($B$5*(W$12+$B$7)+$B$6*($A26+$B$8)))/2,0),1)),"")</f>
      </c>
      <c r="X26" s="2">
        <f>IF(X$12&gt;$A26,IF(X$12=1,5,MAX($B$4-ROUNDDOWN((SQRT($B$5*(X$12+$B$7)+$B$6*($A26+$B$8)))/2,0),1)),"")</f>
      </c>
      <c r="Y26" s="2">
        <f>IF(Y$12&gt;$A26,IF(Y$12=1,5,MAX($B$4-ROUNDDOWN((SQRT($B$5*(Y$12+$B$7)+$B$6*($A26+$B$8)))/2,0),1)),"")</f>
      </c>
      <c r="Z26" s="2">
        <f>IF(Z$12&gt;$A26,IF(Z$12=1,5,MAX($B$4-ROUNDDOWN((SQRT($B$5*(Z$12+$B$7)+$B$6*($A26+$B$8)))/2,0),1)),"")</f>
      </c>
      <c r="AA26" s="2">
        <f>IF(AA$12&gt;$A26,IF(AA$12=1,5,MAX($B$4-ROUNDDOWN((SQRT($B$5*(AA$12+$B$7)+$B$6*($A26+$B$8)))/2,0),1)),"")</f>
      </c>
      <c r="AB26" s="2">
        <f>IF(AB$12&gt;$A26,IF(AB$12=1,5,MAX($B$4-ROUNDDOWN((SQRT($B$5*(AB$12+$B$7)+$B$6*($A26+$B$8)))/2,0),1)),"")</f>
      </c>
    </row>
    <row x14ac:dyDescent="0.25" r="27" customHeight="1" ht="18.75">
      <c r="A27" s="2">
        <v>14</v>
      </c>
      <c r="B27" s="3">
        <f>IF(B$12&gt;$A27,IF(B$12=1,5,MAX($B$4-ROUNDDOWN((SQRT($B$5*(B$12+$B$7)+$B$6*($A27+$B$8)))/2,0),1)),"")</f>
      </c>
      <c r="C27" s="3">
        <f>IF(C$12&gt;$A27,IF(C$12=1,5,MAX($B$4-ROUNDDOWN((SQRT($B$5*(C$12+$B$7)+$B$6*($A27+$B$8)))/2,0),1)),"")</f>
      </c>
      <c r="D27" s="3">
        <f>IF(D$12&gt;$A27,IF(D$12=1,5,MAX($B$4-ROUNDDOWN((SQRT($B$5*(D$12+$B$7)+$B$6*($A27+$B$8)))/2,0),1)),"")</f>
      </c>
      <c r="E27" s="3">
        <f>IF(E$12&gt;$A27,IF(E$12=1,5,MAX($B$4-ROUNDDOWN((SQRT($B$5*(E$12+$B$7)+$B$6*($A27+$B$8)))/2,0),1)),"")</f>
      </c>
      <c r="F27" s="3">
        <f>IF(F$12&gt;$A27,IF(F$12=1,5,MAX($B$4-ROUNDDOWN((SQRT($B$5*(F$12+$B$7)+$B$6*($A27+$B$8)))/2,0),1)),"")</f>
      </c>
      <c r="G27" s="3">
        <f>IF(G$12&gt;$A27,IF(G$12=1,5,MAX($B$4-ROUNDDOWN((SQRT($B$5*(G$12+$B$7)+$B$6*($A27+$B$8)))/2,0),1)),"")</f>
      </c>
      <c r="H27" s="3">
        <f>IF(H$12&gt;$A27,IF(H$12=1,5,MAX($B$4-ROUNDDOWN((SQRT($B$5*(H$12+$B$7)+$B$6*($A27+$B$8)))/2,0),1)),"")</f>
      </c>
      <c r="I27" s="3">
        <f>IF(I$12&gt;$A27,IF(I$12=1,5,MAX($B$4-ROUNDDOWN((SQRT($B$5*(I$12+$B$7)+$B$6*($A27+$B$8)))/2,0),1)),"")</f>
      </c>
      <c r="J27" s="3">
        <f>IF(J$12&gt;$A27,IF(J$12=1,5,MAX($B$4-ROUNDDOWN((SQRT($B$5*(J$12+$B$7)+$B$6*($A27+$B$8)))/2,0),1)),"")</f>
      </c>
      <c r="K27" s="3">
        <f>IF(K$12&gt;$A27,IF(K$12=1,5,MAX($B$4-ROUNDDOWN((SQRT($B$5*(K$12+$B$7)+$B$6*($A27+$B$8)))/2,0),1)),"")</f>
      </c>
      <c r="L27" s="3">
        <f>IF(L$12&gt;$A27,IF(L$12=1,5,MAX($B$4-ROUNDDOWN((SQRT($B$5*(L$12+$B$7)+$B$6*($A27+$B$8)))/2,0),1)),"")</f>
      </c>
      <c r="M27" s="3">
        <f>IF(M$12&gt;$A27,IF(M$12=1,5,MAX($B$4-ROUNDDOWN((SQRT($B$5*(M$12+$B$7)+$B$6*($A27+$B$8)))/2,0),1)),"")</f>
      </c>
      <c r="N27" s="3">
        <f>IF(N$12&gt;$A27,IF(N$12=1,5,MAX($B$4-ROUNDDOWN((SQRT($B$5*(N$12+$B$7)+$B$6*($A27+$B$8)))/2,0),1)),"")</f>
      </c>
      <c r="O27" s="3">
        <f>IF(O$12&gt;$A27,IF(O$12=1,5,MAX($B$4-ROUNDDOWN((SQRT($B$5*(O$12+$B$7)+$B$6*($A27+$B$8)))/2,0),1)),"")</f>
      </c>
      <c r="P27" s="2">
        <f>IF(P$12&gt;$A27,IF(P$12=1,5,MAX($B$4-ROUNDDOWN((SQRT($B$5*(P$12+$B$7)+$B$6*($A27+$B$8)))/2,0),1)),"")</f>
      </c>
      <c r="Q27" s="2">
        <f>IF(Q$12&gt;$A27,IF(Q$12=1,5,MAX($B$4-ROUNDDOWN((SQRT($B$5*(Q$12+$B$7)+$B$6*($A27+$B$8)))/2,0),1)),"")</f>
      </c>
      <c r="R27" s="2">
        <f>IF(R$12&gt;$A27,IF(R$12=1,5,MAX($B$4-ROUNDDOWN((SQRT($B$5*(R$12+$B$7)+$B$6*($A27+$B$8)))/2,0),1)),"")</f>
      </c>
      <c r="S27" s="2">
        <f>IF(S$12&gt;$A27,IF(S$12=1,5,MAX($B$4-ROUNDDOWN((SQRT($B$5*(S$12+$B$7)+$B$6*($A27+$B$8)))/2,0),1)),"")</f>
      </c>
      <c r="T27" s="2">
        <f>IF(T$12&gt;$A27,IF(T$12=1,5,MAX($B$4-ROUNDDOWN((SQRT($B$5*(T$12+$B$7)+$B$6*($A27+$B$8)))/2,0),1)),"")</f>
      </c>
      <c r="U27" s="2">
        <f>IF(U$12&gt;$A27,IF(U$12=1,5,MAX($B$4-ROUNDDOWN((SQRT($B$5*(U$12+$B$7)+$B$6*($A27+$B$8)))/2,0),1)),"")</f>
      </c>
      <c r="V27" s="2">
        <f>IF(V$12&gt;$A27,IF(V$12=1,5,MAX($B$4-ROUNDDOWN((SQRT($B$5*(V$12+$B$7)+$B$6*($A27+$B$8)))/2,0),1)),"")</f>
      </c>
      <c r="W27" s="2">
        <f>IF(W$12&gt;$A27,IF(W$12=1,5,MAX($B$4-ROUNDDOWN((SQRT($B$5*(W$12+$B$7)+$B$6*($A27+$B$8)))/2,0),1)),"")</f>
      </c>
      <c r="X27" s="2">
        <f>IF(X$12&gt;$A27,IF(X$12=1,5,MAX($B$4-ROUNDDOWN((SQRT($B$5*(X$12+$B$7)+$B$6*($A27+$B$8)))/2,0),1)),"")</f>
      </c>
      <c r="Y27" s="2">
        <f>IF(Y$12&gt;$A27,IF(Y$12=1,5,MAX($B$4-ROUNDDOWN((SQRT($B$5*(Y$12+$B$7)+$B$6*($A27+$B$8)))/2,0),1)),"")</f>
      </c>
      <c r="Z27" s="2">
        <f>IF(Z$12&gt;$A27,IF(Z$12=1,5,MAX($B$4-ROUNDDOWN((SQRT($B$5*(Z$12+$B$7)+$B$6*($A27+$B$8)))/2,0),1)),"")</f>
      </c>
      <c r="AA27" s="2">
        <f>IF(AA$12&gt;$A27,IF(AA$12=1,5,MAX($B$4-ROUNDDOWN((SQRT($B$5*(AA$12+$B$7)+$B$6*($A27+$B$8)))/2,0),1)),"")</f>
      </c>
      <c r="AB27" s="2">
        <f>IF(AB$12&gt;$A27,IF(AB$12=1,5,MAX($B$4-ROUNDDOWN((SQRT($B$5*(AB$12+$B$7)+$B$6*($A27+$B$8)))/2,0),1)),"")</f>
      </c>
    </row>
    <row x14ac:dyDescent="0.25" r="28" customHeight="1" ht="18.75">
      <c r="A28" s="2">
        <v>15</v>
      </c>
      <c r="B28" s="3">
        <f>IF(B$12&gt;$A28,IF(B$12=1,5,MAX($B$4-ROUNDDOWN((SQRT($B$5*(B$12+$B$7)+$B$6*($A28+$B$8)))/2,0),1)),"")</f>
      </c>
      <c r="C28" s="3">
        <f>IF(C$12&gt;$A28,IF(C$12=1,5,MAX($B$4-ROUNDDOWN((SQRT($B$5*(C$12+$B$7)+$B$6*($A28+$B$8)))/2,0),1)),"")</f>
      </c>
      <c r="D28" s="3">
        <f>IF(D$12&gt;$A28,IF(D$12=1,5,MAX($B$4-ROUNDDOWN((SQRT($B$5*(D$12+$B$7)+$B$6*($A28+$B$8)))/2,0),1)),"")</f>
      </c>
      <c r="E28" s="3">
        <f>IF(E$12&gt;$A28,IF(E$12=1,5,MAX($B$4-ROUNDDOWN((SQRT($B$5*(E$12+$B$7)+$B$6*($A28+$B$8)))/2,0),1)),"")</f>
      </c>
      <c r="F28" s="3">
        <f>IF(F$12&gt;$A28,IF(F$12=1,5,MAX($B$4-ROUNDDOWN((SQRT($B$5*(F$12+$B$7)+$B$6*($A28+$B$8)))/2,0),1)),"")</f>
      </c>
      <c r="G28" s="3">
        <f>IF(G$12&gt;$A28,IF(G$12=1,5,MAX($B$4-ROUNDDOWN((SQRT($B$5*(G$12+$B$7)+$B$6*($A28+$B$8)))/2,0),1)),"")</f>
      </c>
      <c r="H28" s="3">
        <f>IF(H$12&gt;$A28,IF(H$12=1,5,MAX($B$4-ROUNDDOWN((SQRT($B$5*(H$12+$B$7)+$B$6*($A28+$B$8)))/2,0),1)),"")</f>
      </c>
      <c r="I28" s="3">
        <f>IF(I$12&gt;$A28,IF(I$12=1,5,MAX($B$4-ROUNDDOWN((SQRT($B$5*(I$12+$B$7)+$B$6*($A28+$B$8)))/2,0),1)),"")</f>
      </c>
      <c r="J28" s="3">
        <f>IF(J$12&gt;$A28,IF(J$12=1,5,MAX($B$4-ROUNDDOWN((SQRT($B$5*(J$12+$B$7)+$B$6*($A28+$B$8)))/2,0),1)),"")</f>
      </c>
      <c r="K28" s="3">
        <f>IF(K$12&gt;$A28,IF(K$12=1,5,MAX($B$4-ROUNDDOWN((SQRT($B$5*(K$12+$B$7)+$B$6*($A28+$B$8)))/2,0),1)),"")</f>
      </c>
      <c r="L28" s="3">
        <f>IF(L$12&gt;$A28,IF(L$12=1,5,MAX($B$4-ROUNDDOWN((SQRT($B$5*(L$12+$B$7)+$B$6*($A28+$B$8)))/2,0),1)),"")</f>
      </c>
      <c r="M28" s="3">
        <f>IF(M$12&gt;$A28,IF(M$12=1,5,MAX($B$4-ROUNDDOWN((SQRT($B$5*(M$12+$B$7)+$B$6*($A28+$B$8)))/2,0),1)),"")</f>
      </c>
      <c r="N28" s="3">
        <f>IF(N$12&gt;$A28,IF(N$12=1,5,MAX($B$4-ROUNDDOWN((SQRT($B$5*(N$12+$B$7)+$B$6*($A28+$B$8)))/2,0),1)),"")</f>
      </c>
      <c r="O28" s="3">
        <f>IF(O$12&gt;$A28,IF(O$12=1,5,MAX($B$4-ROUNDDOWN((SQRT($B$5*(O$12+$B$7)+$B$6*($A28+$B$8)))/2,0),1)),"")</f>
      </c>
      <c r="P28" s="3">
        <f>IF(P$12&gt;$A28,IF(P$12=1,5,MAX($B$4-ROUNDDOWN((SQRT($B$5*(P$12+$B$7)+$B$6*($A28+$B$8)))/2,0),1)),"")</f>
      </c>
      <c r="Q28" s="2">
        <f>IF(Q$12&gt;$A28,IF(Q$12=1,5,MAX($B$4-ROUNDDOWN((SQRT($B$5*(Q$12+$B$7)+$B$6*($A28+$B$8)))/2,0),1)),"")</f>
      </c>
      <c r="R28" s="2">
        <f>IF(R$12&gt;$A28,IF(R$12=1,5,MAX($B$4-ROUNDDOWN((SQRT($B$5*(R$12+$B$7)+$B$6*($A28+$B$8)))/2,0),1)),"")</f>
      </c>
      <c r="S28" s="2">
        <f>IF(S$12&gt;$A28,IF(S$12=1,5,MAX($B$4-ROUNDDOWN((SQRT($B$5*(S$12+$B$7)+$B$6*($A28+$B$8)))/2,0),1)),"")</f>
      </c>
      <c r="T28" s="2">
        <f>IF(T$12&gt;$A28,IF(T$12=1,5,MAX($B$4-ROUNDDOWN((SQRT($B$5*(T$12+$B$7)+$B$6*($A28+$B$8)))/2,0),1)),"")</f>
      </c>
      <c r="U28" s="2">
        <f>IF(U$12&gt;$A28,IF(U$12=1,5,MAX($B$4-ROUNDDOWN((SQRT($B$5*(U$12+$B$7)+$B$6*($A28+$B$8)))/2,0),1)),"")</f>
      </c>
      <c r="V28" s="2">
        <f>IF(V$12&gt;$A28,IF(V$12=1,5,MAX($B$4-ROUNDDOWN((SQRT($B$5*(V$12+$B$7)+$B$6*($A28+$B$8)))/2,0),1)),"")</f>
      </c>
      <c r="W28" s="2">
        <f>IF(W$12&gt;$A28,IF(W$12=1,5,MAX($B$4-ROUNDDOWN((SQRT($B$5*(W$12+$B$7)+$B$6*($A28+$B$8)))/2,0),1)),"")</f>
      </c>
      <c r="X28" s="2">
        <f>IF(X$12&gt;$A28,IF(X$12=1,5,MAX($B$4-ROUNDDOWN((SQRT($B$5*(X$12+$B$7)+$B$6*($A28+$B$8)))/2,0),1)),"")</f>
      </c>
      <c r="Y28" s="2">
        <f>IF(Y$12&gt;$A28,IF(Y$12=1,5,MAX($B$4-ROUNDDOWN((SQRT($B$5*(Y$12+$B$7)+$B$6*($A28+$B$8)))/2,0),1)),"")</f>
      </c>
      <c r="Z28" s="2">
        <f>IF(Z$12&gt;$A28,IF(Z$12=1,5,MAX($B$4-ROUNDDOWN((SQRT($B$5*(Z$12+$B$7)+$B$6*($A28+$B$8)))/2,0),1)),"")</f>
      </c>
      <c r="AA28" s="2">
        <f>IF(AA$12&gt;$A28,IF(AA$12=1,5,MAX($B$4-ROUNDDOWN((SQRT($B$5*(AA$12+$B$7)+$B$6*($A28+$B$8)))/2,0),1)),"")</f>
      </c>
      <c r="AB28" s="2">
        <f>IF(AB$12&gt;$A28,IF(AB$12=1,5,MAX($B$4-ROUNDDOWN((SQRT($B$5*(AB$12+$B$7)+$B$6*($A28+$B$8)))/2,0),1)),"")</f>
      </c>
    </row>
    <row x14ac:dyDescent="0.25" r="29" customHeight="1" ht="18.75">
      <c r="A29" s="2">
        <v>16</v>
      </c>
      <c r="B29" s="3">
        <f>IF(B$12&gt;$A29,IF(B$12=1,5,MAX($B$4-ROUNDDOWN((SQRT($B$5*(B$12+$B$7)+$B$6*($A29+$B$8)))/2,0),1)),"")</f>
      </c>
      <c r="C29" s="3">
        <f>IF(C$12&gt;$A29,IF(C$12=1,5,MAX($B$4-ROUNDDOWN((SQRT($B$5*(C$12+$B$7)+$B$6*($A29+$B$8)))/2,0),1)),"")</f>
      </c>
      <c r="D29" s="3">
        <f>IF(D$12&gt;$A29,IF(D$12=1,5,MAX($B$4-ROUNDDOWN((SQRT($B$5*(D$12+$B$7)+$B$6*($A29+$B$8)))/2,0),1)),"")</f>
      </c>
      <c r="E29" s="3">
        <f>IF(E$12&gt;$A29,IF(E$12=1,5,MAX($B$4-ROUNDDOWN((SQRT($B$5*(E$12+$B$7)+$B$6*($A29+$B$8)))/2,0),1)),"")</f>
      </c>
      <c r="F29" s="3">
        <f>IF(F$12&gt;$A29,IF(F$12=1,5,MAX($B$4-ROUNDDOWN((SQRT($B$5*(F$12+$B$7)+$B$6*($A29+$B$8)))/2,0),1)),"")</f>
      </c>
      <c r="G29" s="3">
        <f>IF(G$12&gt;$A29,IF(G$12=1,5,MAX($B$4-ROUNDDOWN((SQRT($B$5*(G$12+$B$7)+$B$6*($A29+$B$8)))/2,0),1)),"")</f>
      </c>
      <c r="H29" s="3">
        <f>IF(H$12&gt;$A29,IF(H$12=1,5,MAX($B$4-ROUNDDOWN((SQRT($B$5*(H$12+$B$7)+$B$6*($A29+$B$8)))/2,0),1)),"")</f>
      </c>
      <c r="I29" s="3">
        <f>IF(I$12&gt;$A29,IF(I$12=1,5,MAX($B$4-ROUNDDOWN((SQRT($B$5*(I$12+$B$7)+$B$6*($A29+$B$8)))/2,0),1)),"")</f>
      </c>
      <c r="J29" s="3">
        <f>IF(J$12&gt;$A29,IF(J$12=1,5,MAX($B$4-ROUNDDOWN((SQRT($B$5*(J$12+$B$7)+$B$6*($A29+$B$8)))/2,0),1)),"")</f>
      </c>
      <c r="K29" s="3">
        <f>IF(K$12&gt;$A29,IF(K$12=1,5,MAX($B$4-ROUNDDOWN((SQRT($B$5*(K$12+$B$7)+$B$6*($A29+$B$8)))/2,0),1)),"")</f>
      </c>
      <c r="L29" s="3">
        <f>IF(L$12&gt;$A29,IF(L$12=1,5,MAX($B$4-ROUNDDOWN((SQRT($B$5*(L$12+$B$7)+$B$6*($A29+$B$8)))/2,0),1)),"")</f>
      </c>
      <c r="M29" s="3">
        <f>IF(M$12&gt;$A29,IF(M$12=1,5,MAX($B$4-ROUNDDOWN((SQRT($B$5*(M$12+$B$7)+$B$6*($A29+$B$8)))/2,0),1)),"")</f>
      </c>
      <c r="N29" s="3">
        <f>IF(N$12&gt;$A29,IF(N$12=1,5,MAX($B$4-ROUNDDOWN((SQRT($B$5*(N$12+$B$7)+$B$6*($A29+$B$8)))/2,0),1)),"")</f>
      </c>
      <c r="O29" s="3">
        <f>IF(O$12&gt;$A29,IF(O$12=1,5,MAX($B$4-ROUNDDOWN((SQRT($B$5*(O$12+$B$7)+$B$6*($A29+$B$8)))/2,0),1)),"")</f>
      </c>
      <c r="P29" s="3">
        <f>IF(P$12&gt;$A29,IF(P$12=1,5,MAX($B$4-ROUNDDOWN((SQRT($B$5*(P$12+$B$7)+$B$6*($A29+$B$8)))/2,0),1)),"")</f>
      </c>
      <c r="Q29" s="3">
        <f>IF(Q$12&gt;$A29,IF(Q$12=1,5,MAX($B$4-ROUNDDOWN((SQRT($B$5*(Q$12+$B$7)+$B$6*($A29+$B$8)))/2,0),1)),"")</f>
      </c>
      <c r="R29" s="2">
        <f>IF(R$12&gt;$A29,IF(R$12=1,5,MAX($B$4-ROUNDDOWN((SQRT($B$5*(R$12+$B$7)+$B$6*($A29+$B$8)))/2,0),1)),"")</f>
      </c>
      <c r="S29" s="2">
        <f>IF(S$12&gt;$A29,IF(S$12=1,5,MAX($B$4-ROUNDDOWN((SQRT($B$5*(S$12+$B$7)+$B$6*($A29+$B$8)))/2,0),1)),"")</f>
      </c>
      <c r="T29" s="2">
        <f>IF(T$12&gt;$A29,IF(T$12=1,5,MAX($B$4-ROUNDDOWN((SQRT($B$5*(T$12+$B$7)+$B$6*($A29+$B$8)))/2,0),1)),"")</f>
      </c>
      <c r="U29" s="2">
        <f>IF(U$12&gt;$A29,IF(U$12=1,5,MAX($B$4-ROUNDDOWN((SQRT($B$5*(U$12+$B$7)+$B$6*($A29+$B$8)))/2,0),1)),"")</f>
      </c>
      <c r="V29" s="2">
        <f>IF(V$12&gt;$A29,IF(V$12=1,5,MAX($B$4-ROUNDDOWN((SQRT($B$5*(V$12+$B$7)+$B$6*($A29+$B$8)))/2,0),1)),"")</f>
      </c>
      <c r="W29" s="2">
        <f>IF(W$12&gt;$A29,IF(W$12=1,5,MAX($B$4-ROUNDDOWN((SQRT($B$5*(W$12+$B$7)+$B$6*($A29+$B$8)))/2,0),1)),"")</f>
      </c>
      <c r="X29" s="2">
        <f>IF(X$12&gt;$A29,IF(X$12=1,5,MAX($B$4-ROUNDDOWN((SQRT($B$5*(X$12+$B$7)+$B$6*($A29+$B$8)))/2,0),1)),"")</f>
      </c>
      <c r="Y29" s="2">
        <f>IF(Y$12&gt;$A29,IF(Y$12=1,5,MAX($B$4-ROUNDDOWN((SQRT($B$5*(Y$12+$B$7)+$B$6*($A29+$B$8)))/2,0),1)),"")</f>
      </c>
      <c r="Z29" s="2">
        <f>IF(Z$12&gt;$A29,IF(Z$12=1,5,MAX($B$4-ROUNDDOWN((SQRT($B$5*(Z$12+$B$7)+$B$6*($A29+$B$8)))/2,0),1)),"")</f>
      </c>
      <c r="AA29" s="2">
        <f>IF(AA$12&gt;$A29,IF(AA$12=1,5,MAX($B$4-ROUNDDOWN((SQRT($B$5*(AA$12+$B$7)+$B$6*($A29+$B$8)))/2,0),1)),"")</f>
      </c>
      <c r="AB29" s="2">
        <f>IF(AB$12&gt;$A29,IF(AB$12=1,5,MAX($B$4-ROUNDDOWN((SQRT($B$5*(AB$12+$B$7)+$B$6*($A29+$B$8)))/2,0),1)),"")</f>
      </c>
    </row>
    <row x14ac:dyDescent="0.25" r="30" customHeight="1" ht="18.75">
      <c r="A30" s="2">
        <v>17</v>
      </c>
      <c r="B30" s="3">
        <f>IF(B$12&gt;$A30,IF(B$12=1,5,MAX($B$4-ROUNDDOWN((SQRT($B$5*(B$12+$B$7)+$B$6*($A30+$B$8)))/2,0),1)),"")</f>
      </c>
      <c r="C30" s="3">
        <f>IF(C$12&gt;$A30,IF(C$12=1,5,MAX($B$4-ROUNDDOWN((SQRT($B$5*(C$12+$B$7)+$B$6*($A30+$B$8)))/2,0),1)),"")</f>
      </c>
      <c r="D30" s="3">
        <f>IF(D$12&gt;$A30,IF(D$12=1,5,MAX($B$4-ROUNDDOWN((SQRT($B$5*(D$12+$B$7)+$B$6*($A30+$B$8)))/2,0),1)),"")</f>
      </c>
      <c r="E30" s="3">
        <f>IF(E$12&gt;$A30,IF(E$12=1,5,MAX($B$4-ROUNDDOWN((SQRT($B$5*(E$12+$B$7)+$B$6*($A30+$B$8)))/2,0),1)),"")</f>
      </c>
      <c r="F30" s="3">
        <f>IF(F$12&gt;$A30,IF(F$12=1,5,MAX($B$4-ROUNDDOWN((SQRT($B$5*(F$12+$B$7)+$B$6*($A30+$B$8)))/2,0),1)),"")</f>
      </c>
      <c r="G30" s="3">
        <f>IF(G$12&gt;$A30,IF(G$12=1,5,MAX($B$4-ROUNDDOWN((SQRT($B$5*(G$12+$B$7)+$B$6*($A30+$B$8)))/2,0),1)),"")</f>
      </c>
      <c r="H30" s="3">
        <f>IF(H$12&gt;$A30,IF(H$12=1,5,MAX($B$4-ROUNDDOWN((SQRT($B$5*(H$12+$B$7)+$B$6*($A30+$B$8)))/2,0),1)),"")</f>
      </c>
      <c r="I30" s="3">
        <f>IF(I$12&gt;$A30,IF(I$12=1,5,MAX($B$4-ROUNDDOWN((SQRT($B$5*(I$12+$B$7)+$B$6*($A30+$B$8)))/2,0),1)),"")</f>
      </c>
      <c r="J30" s="3">
        <f>IF(J$12&gt;$A30,IF(J$12=1,5,MAX($B$4-ROUNDDOWN((SQRT($B$5*(J$12+$B$7)+$B$6*($A30+$B$8)))/2,0),1)),"")</f>
      </c>
      <c r="K30" s="3">
        <f>IF(K$12&gt;$A30,IF(K$12=1,5,MAX($B$4-ROUNDDOWN((SQRT($B$5*(K$12+$B$7)+$B$6*($A30+$B$8)))/2,0),1)),"")</f>
      </c>
      <c r="L30" s="3">
        <f>IF(L$12&gt;$A30,IF(L$12=1,5,MAX($B$4-ROUNDDOWN((SQRT($B$5*(L$12+$B$7)+$B$6*($A30+$B$8)))/2,0),1)),"")</f>
      </c>
      <c r="M30" s="3">
        <f>IF(M$12&gt;$A30,IF(M$12=1,5,MAX($B$4-ROUNDDOWN((SQRT($B$5*(M$12+$B$7)+$B$6*($A30+$B$8)))/2,0),1)),"")</f>
      </c>
      <c r="N30" s="3">
        <f>IF(N$12&gt;$A30,IF(N$12=1,5,MAX($B$4-ROUNDDOWN((SQRT($B$5*(N$12+$B$7)+$B$6*($A30+$B$8)))/2,0),1)),"")</f>
      </c>
      <c r="O30" s="3">
        <f>IF(O$12&gt;$A30,IF(O$12=1,5,MAX($B$4-ROUNDDOWN((SQRT($B$5*(O$12+$B$7)+$B$6*($A30+$B$8)))/2,0),1)),"")</f>
      </c>
      <c r="P30" s="3">
        <f>IF(P$12&gt;$A30,IF(P$12=1,5,MAX($B$4-ROUNDDOWN((SQRT($B$5*(P$12+$B$7)+$B$6*($A30+$B$8)))/2,0),1)),"")</f>
      </c>
      <c r="Q30" s="3">
        <f>IF(Q$12&gt;$A30,IF(Q$12=1,5,MAX($B$4-ROUNDDOWN((SQRT($B$5*(Q$12+$B$7)+$B$6*($A30+$B$8)))/2,0),1)),"")</f>
      </c>
      <c r="R30" s="3">
        <f>IF(R$12&gt;$A30,IF(R$12=1,5,MAX($B$4-ROUNDDOWN((SQRT($B$5*(R$12+$B$7)+$B$6*($A30+$B$8)))/2,0),1)),"")</f>
      </c>
      <c r="S30" s="2">
        <f>IF(S$12&gt;$A30,IF(S$12=1,5,MAX($B$4-ROUNDDOWN((SQRT($B$5*(S$12+$B$7)+$B$6*($A30+$B$8)))/2,0),1)),"")</f>
      </c>
      <c r="T30" s="2">
        <f>IF(T$12&gt;$A30,IF(T$12=1,5,MAX($B$4-ROUNDDOWN((SQRT($B$5*(T$12+$B$7)+$B$6*($A30+$B$8)))/2,0),1)),"")</f>
      </c>
      <c r="U30" s="2">
        <f>IF(U$12&gt;$A30,IF(U$12=1,5,MAX($B$4-ROUNDDOWN((SQRT($B$5*(U$12+$B$7)+$B$6*($A30+$B$8)))/2,0),1)),"")</f>
      </c>
      <c r="V30" s="2">
        <f>IF(V$12&gt;$A30,IF(V$12=1,5,MAX($B$4-ROUNDDOWN((SQRT($B$5*(V$12+$B$7)+$B$6*($A30+$B$8)))/2,0),1)),"")</f>
      </c>
      <c r="W30" s="2">
        <f>IF(W$12&gt;$A30,IF(W$12=1,5,MAX($B$4-ROUNDDOWN((SQRT($B$5*(W$12+$B$7)+$B$6*($A30+$B$8)))/2,0),1)),"")</f>
      </c>
      <c r="X30" s="2">
        <f>IF(X$12&gt;$A30,IF(X$12=1,5,MAX($B$4-ROUNDDOWN((SQRT($B$5*(X$12+$B$7)+$B$6*($A30+$B$8)))/2,0),1)),"")</f>
      </c>
      <c r="Y30" s="2">
        <f>IF(Y$12&gt;$A30,IF(Y$12=1,5,MAX($B$4-ROUNDDOWN((SQRT($B$5*(Y$12+$B$7)+$B$6*($A30+$B$8)))/2,0),1)),"")</f>
      </c>
      <c r="Z30" s="2">
        <f>IF(Z$12&gt;$A30,IF(Z$12=1,5,MAX($B$4-ROUNDDOWN((SQRT($B$5*(Z$12+$B$7)+$B$6*($A30+$B$8)))/2,0),1)),"")</f>
      </c>
      <c r="AA30" s="2">
        <f>IF(AA$12&gt;$A30,IF(AA$12=1,5,MAX($B$4-ROUNDDOWN((SQRT($B$5*(AA$12+$B$7)+$B$6*($A30+$B$8)))/2,0),1)),"")</f>
      </c>
      <c r="AB30" s="2">
        <f>IF(AB$12&gt;$A30,IF(AB$12=1,5,MAX($B$4-ROUNDDOWN((SQRT($B$5*(AB$12+$B$7)+$B$6*($A30+$B$8)))/2,0),1)),"")</f>
      </c>
    </row>
    <row x14ac:dyDescent="0.25" r="31" customHeight="1" ht="18.75">
      <c r="A31" s="2">
        <v>18</v>
      </c>
      <c r="B31" s="3">
        <f>IF(B$12&gt;$A31,IF(B$12=1,5,MAX($B$4-ROUNDDOWN((SQRT($B$5*(B$12+$B$7)+$B$6*($A31+$B$8)))/2,0),1)),"")</f>
      </c>
      <c r="C31" s="3">
        <f>IF(C$12&gt;$A31,IF(C$12=1,5,MAX($B$4-ROUNDDOWN((SQRT($B$5*(C$12+$B$7)+$B$6*($A31+$B$8)))/2,0),1)),"")</f>
      </c>
      <c r="D31" s="3">
        <f>IF(D$12&gt;$A31,IF(D$12=1,5,MAX($B$4-ROUNDDOWN((SQRT($B$5*(D$12+$B$7)+$B$6*($A31+$B$8)))/2,0),1)),"")</f>
      </c>
      <c r="E31" s="3">
        <f>IF(E$12&gt;$A31,IF(E$12=1,5,MAX($B$4-ROUNDDOWN((SQRT($B$5*(E$12+$B$7)+$B$6*($A31+$B$8)))/2,0),1)),"")</f>
      </c>
      <c r="F31" s="3">
        <f>IF(F$12&gt;$A31,IF(F$12=1,5,MAX($B$4-ROUNDDOWN((SQRT($B$5*(F$12+$B$7)+$B$6*($A31+$B$8)))/2,0),1)),"")</f>
      </c>
      <c r="G31" s="3">
        <f>IF(G$12&gt;$A31,IF(G$12=1,5,MAX($B$4-ROUNDDOWN((SQRT($B$5*(G$12+$B$7)+$B$6*($A31+$B$8)))/2,0),1)),"")</f>
      </c>
      <c r="H31" s="3">
        <f>IF(H$12&gt;$A31,IF(H$12=1,5,MAX($B$4-ROUNDDOWN((SQRT($B$5*(H$12+$B$7)+$B$6*($A31+$B$8)))/2,0),1)),"")</f>
      </c>
      <c r="I31" s="3">
        <f>IF(I$12&gt;$A31,IF(I$12=1,5,MAX($B$4-ROUNDDOWN((SQRT($B$5*(I$12+$B$7)+$B$6*($A31+$B$8)))/2,0),1)),"")</f>
      </c>
      <c r="J31" s="3">
        <f>IF(J$12&gt;$A31,IF(J$12=1,5,MAX($B$4-ROUNDDOWN((SQRT($B$5*(J$12+$B$7)+$B$6*($A31+$B$8)))/2,0),1)),"")</f>
      </c>
      <c r="K31" s="3">
        <f>IF(K$12&gt;$A31,IF(K$12=1,5,MAX($B$4-ROUNDDOWN((SQRT($B$5*(K$12+$B$7)+$B$6*($A31+$B$8)))/2,0),1)),"")</f>
      </c>
      <c r="L31" s="3">
        <f>IF(L$12&gt;$A31,IF(L$12=1,5,MAX($B$4-ROUNDDOWN((SQRT($B$5*(L$12+$B$7)+$B$6*($A31+$B$8)))/2,0),1)),"")</f>
      </c>
      <c r="M31" s="3">
        <f>IF(M$12&gt;$A31,IF(M$12=1,5,MAX($B$4-ROUNDDOWN((SQRT($B$5*(M$12+$B$7)+$B$6*($A31+$B$8)))/2,0),1)),"")</f>
      </c>
      <c r="N31" s="3">
        <f>IF(N$12&gt;$A31,IF(N$12=1,5,MAX($B$4-ROUNDDOWN((SQRT($B$5*(N$12+$B$7)+$B$6*($A31+$B$8)))/2,0),1)),"")</f>
      </c>
      <c r="O31" s="3">
        <f>IF(O$12&gt;$A31,IF(O$12=1,5,MAX($B$4-ROUNDDOWN((SQRT($B$5*(O$12+$B$7)+$B$6*($A31+$B$8)))/2,0),1)),"")</f>
      </c>
      <c r="P31" s="3">
        <f>IF(P$12&gt;$A31,IF(P$12=1,5,MAX($B$4-ROUNDDOWN((SQRT($B$5*(P$12+$B$7)+$B$6*($A31+$B$8)))/2,0),1)),"")</f>
      </c>
      <c r="Q31" s="3">
        <f>IF(Q$12&gt;$A31,IF(Q$12=1,5,MAX($B$4-ROUNDDOWN((SQRT($B$5*(Q$12+$B$7)+$B$6*($A31+$B$8)))/2,0),1)),"")</f>
      </c>
      <c r="R31" s="3">
        <f>IF(R$12&gt;$A31,IF(R$12=1,5,MAX($B$4-ROUNDDOWN((SQRT($B$5*(R$12+$B$7)+$B$6*($A31+$B$8)))/2,0),1)),"")</f>
      </c>
      <c r="S31" s="3">
        <f>IF(S$12&gt;$A31,IF(S$12=1,5,MAX($B$4-ROUNDDOWN((SQRT($B$5*(S$12+$B$7)+$B$6*($A31+$B$8)))/2,0),1)),"")</f>
      </c>
      <c r="T31" s="2">
        <f>IF(T$12&gt;$A31,IF(T$12=1,5,MAX($B$4-ROUNDDOWN((SQRT($B$5*(T$12+$B$7)+$B$6*($A31+$B$8)))/2,0),1)),"")</f>
      </c>
      <c r="U31" s="2">
        <f>IF(U$12&gt;$A31,IF(U$12=1,5,MAX($B$4-ROUNDDOWN((SQRT($B$5*(U$12+$B$7)+$B$6*($A31+$B$8)))/2,0),1)),"")</f>
      </c>
      <c r="V31" s="2">
        <f>IF(V$12&gt;$A31,IF(V$12=1,5,MAX($B$4-ROUNDDOWN((SQRT($B$5*(V$12+$B$7)+$B$6*($A31+$B$8)))/2,0),1)),"")</f>
      </c>
      <c r="W31" s="2">
        <f>IF(W$12&gt;$A31,IF(W$12=1,5,MAX($B$4-ROUNDDOWN((SQRT($B$5*(W$12+$B$7)+$B$6*($A31+$B$8)))/2,0),1)),"")</f>
      </c>
      <c r="X31" s="2">
        <f>IF(X$12&gt;$A31,IF(X$12=1,5,MAX($B$4-ROUNDDOWN((SQRT($B$5*(X$12+$B$7)+$B$6*($A31+$B$8)))/2,0),1)),"")</f>
      </c>
      <c r="Y31" s="2">
        <f>IF(Y$12&gt;$A31,IF(Y$12=1,5,MAX($B$4-ROUNDDOWN((SQRT($B$5*(Y$12+$B$7)+$B$6*($A31+$B$8)))/2,0),1)),"")</f>
      </c>
      <c r="Z31" s="2">
        <f>IF(Z$12&gt;$A31,IF(Z$12=1,5,MAX($B$4-ROUNDDOWN((SQRT($B$5*(Z$12+$B$7)+$B$6*($A31+$B$8)))/2,0),1)),"")</f>
      </c>
      <c r="AA31" s="2">
        <f>IF(AA$12&gt;$A31,IF(AA$12=1,5,MAX($B$4-ROUNDDOWN((SQRT($B$5*(AA$12+$B$7)+$B$6*($A31+$B$8)))/2,0),1)),"")</f>
      </c>
      <c r="AB31" s="2">
        <f>IF(AB$12&gt;$A31,IF(AB$12=1,5,MAX($B$4-ROUNDDOWN((SQRT($B$5*(AB$12+$B$7)+$B$6*($A31+$B$8)))/2,0),1)),"")</f>
      </c>
    </row>
    <row x14ac:dyDescent="0.25" r="32" customHeight="1" ht="18.75">
      <c r="A32" s="2">
        <v>19</v>
      </c>
      <c r="B32" s="3">
        <f>IF(B$12&gt;$A32,IF(B$12=1,5,MAX($B$4-ROUNDDOWN((SQRT($B$5*(B$12+$B$7)+$B$6*($A32+$B$8)))/2,0),1)),"")</f>
      </c>
      <c r="C32" s="3">
        <f>IF(C$12&gt;$A32,IF(C$12=1,5,MAX($B$4-ROUNDDOWN((SQRT($B$5*(C$12+$B$7)+$B$6*($A32+$B$8)))/2,0),1)),"")</f>
      </c>
      <c r="D32" s="3">
        <f>IF(D$12&gt;$A32,IF(D$12=1,5,MAX($B$4-ROUNDDOWN((SQRT($B$5*(D$12+$B$7)+$B$6*($A32+$B$8)))/2,0),1)),"")</f>
      </c>
      <c r="E32" s="3">
        <f>IF(E$12&gt;$A32,IF(E$12=1,5,MAX($B$4-ROUNDDOWN((SQRT($B$5*(E$12+$B$7)+$B$6*($A32+$B$8)))/2,0),1)),"")</f>
      </c>
      <c r="F32" s="3">
        <f>IF(F$12&gt;$A32,IF(F$12=1,5,MAX($B$4-ROUNDDOWN((SQRT($B$5*(F$12+$B$7)+$B$6*($A32+$B$8)))/2,0),1)),"")</f>
      </c>
      <c r="G32" s="3">
        <f>IF(G$12&gt;$A32,IF(G$12=1,5,MAX($B$4-ROUNDDOWN((SQRT($B$5*(G$12+$B$7)+$B$6*($A32+$B$8)))/2,0),1)),"")</f>
      </c>
      <c r="H32" s="3">
        <f>IF(H$12&gt;$A32,IF(H$12=1,5,MAX($B$4-ROUNDDOWN((SQRT($B$5*(H$12+$B$7)+$B$6*($A32+$B$8)))/2,0),1)),"")</f>
      </c>
      <c r="I32" s="3">
        <f>IF(I$12&gt;$A32,IF(I$12=1,5,MAX($B$4-ROUNDDOWN((SQRT($B$5*(I$12+$B$7)+$B$6*($A32+$B$8)))/2,0),1)),"")</f>
      </c>
      <c r="J32" s="3">
        <f>IF(J$12&gt;$A32,IF(J$12=1,5,MAX($B$4-ROUNDDOWN((SQRT($B$5*(J$12+$B$7)+$B$6*($A32+$B$8)))/2,0),1)),"")</f>
      </c>
      <c r="K32" s="3">
        <f>IF(K$12&gt;$A32,IF(K$12=1,5,MAX($B$4-ROUNDDOWN((SQRT($B$5*(K$12+$B$7)+$B$6*($A32+$B$8)))/2,0),1)),"")</f>
      </c>
      <c r="L32" s="3">
        <f>IF(L$12&gt;$A32,IF(L$12=1,5,MAX($B$4-ROUNDDOWN((SQRT($B$5*(L$12+$B$7)+$B$6*($A32+$B$8)))/2,0),1)),"")</f>
      </c>
      <c r="M32" s="3">
        <f>IF(M$12&gt;$A32,IF(M$12=1,5,MAX($B$4-ROUNDDOWN((SQRT($B$5*(M$12+$B$7)+$B$6*($A32+$B$8)))/2,0),1)),"")</f>
      </c>
      <c r="N32" s="3">
        <f>IF(N$12&gt;$A32,IF(N$12=1,5,MAX($B$4-ROUNDDOWN((SQRT($B$5*(N$12+$B$7)+$B$6*($A32+$B$8)))/2,0),1)),"")</f>
      </c>
      <c r="O32" s="3">
        <f>IF(O$12&gt;$A32,IF(O$12=1,5,MAX($B$4-ROUNDDOWN((SQRT($B$5*(O$12+$B$7)+$B$6*($A32+$B$8)))/2,0),1)),"")</f>
      </c>
      <c r="P32" s="3">
        <f>IF(P$12&gt;$A32,IF(P$12=1,5,MAX($B$4-ROUNDDOWN((SQRT($B$5*(P$12+$B$7)+$B$6*($A32+$B$8)))/2,0),1)),"")</f>
      </c>
      <c r="Q32" s="3">
        <f>IF(Q$12&gt;$A32,IF(Q$12=1,5,MAX($B$4-ROUNDDOWN((SQRT($B$5*(Q$12+$B$7)+$B$6*($A32+$B$8)))/2,0),1)),"")</f>
      </c>
      <c r="R32" s="3">
        <f>IF(R$12&gt;$A32,IF(R$12=1,5,MAX($B$4-ROUNDDOWN((SQRT($B$5*(R$12+$B$7)+$B$6*($A32+$B$8)))/2,0),1)),"")</f>
      </c>
      <c r="S32" s="3">
        <f>IF(S$12&gt;$A32,IF(S$12=1,5,MAX($B$4-ROUNDDOWN((SQRT($B$5*(S$12+$B$7)+$B$6*($A32+$B$8)))/2,0),1)),"")</f>
      </c>
      <c r="T32" s="3">
        <f>IF(T$12&gt;$A32,IF(T$12=1,5,MAX($B$4-ROUNDDOWN((SQRT($B$5*(T$12+$B$7)+$B$6*($A32+$B$8)))/2,0),1)),"")</f>
      </c>
      <c r="U32" s="2">
        <f>IF(U$12&gt;$A32,IF(U$12=1,5,MAX($B$4-ROUNDDOWN((SQRT($B$5*(U$12+$B$7)+$B$6*($A32+$B$8)))/2,0),1)),"")</f>
      </c>
      <c r="V32" s="2">
        <f>IF(V$12&gt;$A32,IF(V$12=1,5,MAX($B$4-ROUNDDOWN((SQRT($B$5*(V$12+$B$7)+$B$6*($A32+$B$8)))/2,0),1)),"")</f>
      </c>
      <c r="W32" s="2">
        <f>IF(W$12&gt;$A32,IF(W$12=1,5,MAX($B$4-ROUNDDOWN((SQRT($B$5*(W$12+$B$7)+$B$6*($A32+$B$8)))/2,0),1)),"")</f>
      </c>
      <c r="X32" s="2">
        <f>IF(X$12&gt;$A32,IF(X$12=1,5,MAX($B$4-ROUNDDOWN((SQRT($B$5*(X$12+$B$7)+$B$6*($A32+$B$8)))/2,0),1)),"")</f>
      </c>
      <c r="Y32" s="2">
        <f>IF(Y$12&gt;$A32,IF(Y$12=1,5,MAX($B$4-ROUNDDOWN((SQRT($B$5*(Y$12+$B$7)+$B$6*($A32+$B$8)))/2,0),1)),"")</f>
      </c>
      <c r="Z32" s="2">
        <f>IF(Z$12&gt;$A32,IF(Z$12=1,5,MAX($B$4-ROUNDDOWN((SQRT($B$5*(Z$12+$B$7)+$B$6*($A32+$B$8)))/2,0),1)),"")</f>
      </c>
      <c r="AA32" s="2">
        <f>IF(AA$12&gt;$A32,IF(AA$12=1,5,MAX($B$4-ROUNDDOWN((SQRT($B$5*(AA$12+$B$7)+$B$6*($A32+$B$8)))/2,0),1)),"")</f>
      </c>
      <c r="AB32" s="2">
        <f>IF(AB$12&gt;$A32,IF(AB$12=1,5,MAX($B$4-ROUNDDOWN((SQRT($B$5*(AB$12+$B$7)+$B$6*($A32+$B$8)))/2,0),1)),"")</f>
      </c>
    </row>
    <row x14ac:dyDescent="0.25" r="33" customHeight="1" ht="18.75">
      <c r="A33" s="2">
        <v>20</v>
      </c>
      <c r="B33" s="3">
        <f>IF(B$12&gt;$A33,IF(B$12=1,5,MAX($B$4-ROUNDDOWN((SQRT($B$5*(B$12+$B$7)+$B$6*($A33+$B$8)))/2,0),1)),"")</f>
      </c>
      <c r="C33" s="3">
        <f>IF(C$12&gt;$A33,IF(C$12=1,5,MAX($B$4-ROUNDDOWN((SQRT($B$5*(C$12+$B$7)+$B$6*($A33+$B$8)))/2,0),1)),"")</f>
      </c>
      <c r="D33" s="3">
        <f>IF(D$12&gt;$A33,IF(D$12=1,5,MAX($B$4-ROUNDDOWN((SQRT($B$5*(D$12+$B$7)+$B$6*($A33+$B$8)))/2,0),1)),"")</f>
      </c>
      <c r="E33" s="3">
        <f>IF(E$12&gt;$A33,IF(E$12=1,5,MAX($B$4-ROUNDDOWN((SQRT($B$5*(E$12+$B$7)+$B$6*($A33+$B$8)))/2,0),1)),"")</f>
      </c>
      <c r="F33" s="3">
        <f>IF(F$12&gt;$A33,IF(F$12=1,5,MAX($B$4-ROUNDDOWN((SQRT($B$5*(F$12+$B$7)+$B$6*($A33+$B$8)))/2,0),1)),"")</f>
      </c>
      <c r="G33" s="3">
        <f>IF(G$12&gt;$A33,IF(G$12=1,5,MAX($B$4-ROUNDDOWN((SQRT($B$5*(G$12+$B$7)+$B$6*($A33+$B$8)))/2,0),1)),"")</f>
      </c>
      <c r="H33" s="3">
        <f>IF(H$12&gt;$A33,IF(H$12=1,5,MAX($B$4-ROUNDDOWN((SQRT($B$5*(H$12+$B$7)+$B$6*($A33+$B$8)))/2,0),1)),"")</f>
      </c>
      <c r="I33" s="3">
        <f>IF(I$12&gt;$A33,IF(I$12=1,5,MAX($B$4-ROUNDDOWN((SQRT($B$5*(I$12+$B$7)+$B$6*($A33+$B$8)))/2,0),1)),"")</f>
      </c>
      <c r="J33" s="3">
        <f>IF(J$12&gt;$A33,IF(J$12=1,5,MAX($B$4-ROUNDDOWN((SQRT($B$5*(J$12+$B$7)+$B$6*($A33+$B$8)))/2,0),1)),"")</f>
      </c>
      <c r="K33" s="3">
        <f>IF(K$12&gt;$A33,IF(K$12=1,5,MAX($B$4-ROUNDDOWN((SQRT($B$5*(K$12+$B$7)+$B$6*($A33+$B$8)))/2,0),1)),"")</f>
      </c>
      <c r="L33" s="3">
        <f>IF(L$12&gt;$A33,IF(L$12=1,5,MAX($B$4-ROUNDDOWN((SQRT($B$5*(L$12+$B$7)+$B$6*($A33+$B$8)))/2,0),1)),"")</f>
      </c>
      <c r="M33" s="3">
        <f>IF(M$12&gt;$A33,IF(M$12=1,5,MAX($B$4-ROUNDDOWN((SQRT($B$5*(M$12+$B$7)+$B$6*($A33+$B$8)))/2,0),1)),"")</f>
      </c>
      <c r="N33" s="3">
        <f>IF(N$12&gt;$A33,IF(N$12=1,5,MAX($B$4-ROUNDDOWN((SQRT($B$5*(N$12+$B$7)+$B$6*($A33+$B$8)))/2,0),1)),"")</f>
      </c>
      <c r="O33" s="3">
        <f>IF(O$12&gt;$A33,IF(O$12=1,5,MAX($B$4-ROUNDDOWN((SQRT($B$5*(O$12+$B$7)+$B$6*($A33+$B$8)))/2,0),1)),"")</f>
      </c>
      <c r="P33" s="3">
        <f>IF(P$12&gt;$A33,IF(P$12=1,5,MAX($B$4-ROUNDDOWN((SQRT($B$5*(P$12+$B$7)+$B$6*($A33+$B$8)))/2,0),1)),"")</f>
      </c>
      <c r="Q33" s="3">
        <f>IF(Q$12&gt;$A33,IF(Q$12=1,5,MAX($B$4-ROUNDDOWN((SQRT($B$5*(Q$12+$B$7)+$B$6*($A33+$B$8)))/2,0),1)),"")</f>
      </c>
      <c r="R33" s="3">
        <f>IF(R$12&gt;$A33,IF(R$12=1,5,MAX($B$4-ROUNDDOWN((SQRT($B$5*(R$12+$B$7)+$B$6*($A33+$B$8)))/2,0),1)),"")</f>
      </c>
      <c r="S33" s="3">
        <f>IF(S$12&gt;$A33,IF(S$12=1,5,MAX($B$4-ROUNDDOWN((SQRT($B$5*(S$12+$B$7)+$B$6*($A33+$B$8)))/2,0),1)),"")</f>
      </c>
      <c r="T33" s="3">
        <f>IF(T$12&gt;$A33,IF(T$12=1,5,MAX($B$4-ROUNDDOWN((SQRT($B$5*(T$12+$B$7)+$B$6*($A33+$B$8)))/2,0),1)),"")</f>
      </c>
      <c r="U33" s="3">
        <f>IF(U$12&gt;$A33,IF(U$12=1,5,MAX($B$4-ROUNDDOWN((SQRT($B$5*(U$12+$B$7)+$B$6*($A33+$B$8)))/2,0),1)),"")</f>
      </c>
      <c r="V33" s="2">
        <f>IF(V$12&gt;$A33,IF(V$12=1,5,MAX($B$4-ROUNDDOWN((SQRT($B$5*(V$12+$B$7)+$B$6*($A33+$B$8)))/2,0),1)),"")</f>
      </c>
      <c r="W33" s="2">
        <f>IF(W$12&gt;$A33,IF(W$12=1,5,MAX($B$4-ROUNDDOWN((SQRT($B$5*(W$12+$B$7)+$B$6*($A33+$B$8)))/2,0),1)),"")</f>
      </c>
      <c r="X33" s="2">
        <f>IF(X$12&gt;$A33,IF(X$12=1,5,MAX($B$4-ROUNDDOWN((SQRT($B$5*(X$12+$B$7)+$B$6*($A33+$B$8)))/2,0),1)),"")</f>
      </c>
      <c r="Y33" s="2">
        <f>IF(Y$12&gt;$A33,IF(Y$12=1,5,MAX($B$4-ROUNDDOWN((SQRT($B$5*(Y$12+$B$7)+$B$6*($A33+$B$8)))/2,0),1)),"")</f>
      </c>
      <c r="Z33" s="2">
        <f>IF(Z$12&gt;$A33,IF(Z$12=1,5,MAX($B$4-ROUNDDOWN((SQRT($B$5*(Z$12+$B$7)+$B$6*($A33+$B$8)))/2,0),1)),"")</f>
      </c>
      <c r="AA33" s="2">
        <f>IF(AA$12&gt;$A33,IF(AA$12=1,5,MAX($B$4-ROUNDDOWN((SQRT($B$5*(AA$12+$B$7)+$B$6*($A33+$B$8)))/2,0),1)),"")</f>
      </c>
      <c r="AB33" s="2">
        <f>IF(AB$12&gt;$A33,IF(AB$12=1,5,MAX($B$4-ROUNDDOWN((SQRT($B$5*(AB$12+$B$7)+$B$6*($A33+$B$8)))/2,0),1)),"")</f>
      </c>
    </row>
    <row x14ac:dyDescent="0.25" r="34" customHeight="1" ht="18.75">
      <c r="A34" s="2">
        <v>21</v>
      </c>
      <c r="B34" s="3">
        <f>IF(B$12&gt;$A34,IF(B$12=1,5,MAX($B$4-ROUNDDOWN((SQRT($B$5*(B$12+$B$7)+$B$6*($A34+$B$8)))/2,0),1)),"")</f>
      </c>
      <c r="C34" s="3">
        <f>IF(C$12&gt;$A34,IF(C$12=1,5,MAX($B$4-ROUNDDOWN((SQRT($B$5*(C$12+$B$7)+$B$6*($A34+$B$8)))/2,0),1)),"")</f>
      </c>
      <c r="D34" s="3">
        <f>IF(D$12&gt;$A34,IF(D$12=1,5,MAX($B$4-ROUNDDOWN((SQRT($B$5*(D$12+$B$7)+$B$6*($A34+$B$8)))/2,0),1)),"")</f>
      </c>
      <c r="E34" s="3">
        <f>IF(E$12&gt;$A34,IF(E$12=1,5,MAX($B$4-ROUNDDOWN((SQRT($B$5*(E$12+$B$7)+$B$6*($A34+$B$8)))/2,0),1)),"")</f>
      </c>
      <c r="F34" s="3">
        <f>IF(F$12&gt;$A34,IF(F$12=1,5,MAX($B$4-ROUNDDOWN((SQRT($B$5*(F$12+$B$7)+$B$6*($A34+$B$8)))/2,0),1)),"")</f>
      </c>
      <c r="G34" s="3">
        <f>IF(G$12&gt;$A34,IF(G$12=1,5,MAX($B$4-ROUNDDOWN((SQRT($B$5*(G$12+$B$7)+$B$6*($A34+$B$8)))/2,0),1)),"")</f>
      </c>
      <c r="H34" s="3">
        <f>IF(H$12&gt;$A34,IF(H$12=1,5,MAX($B$4-ROUNDDOWN((SQRT($B$5*(H$12+$B$7)+$B$6*($A34+$B$8)))/2,0),1)),"")</f>
      </c>
      <c r="I34" s="3">
        <f>IF(I$12&gt;$A34,IF(I$12=1,5,MAX($B$4-ROUNDDOWN((SQRT($B$5*(I$12+$B$7)+$B$6*($A34+$B$8)))/2,0),1)),"")</f>
      </c>
      <c r="J34" s="3">
        <f>IF(J$12&gt;$A34,IF(J$12=1,5,MAX($B$4-ROUNDDOWN((SQRT($B$5*(J$12+$B$7)+$B$6*($A34+$B$8)))/2,0),1)),"")</f>
      </c>
      <c r="K34" s="3">
        <f>IF(K$12&gt;$A34,IF(K$12=1,5,MAX($B$4-ROUNDDOWN((SQRT($B$5*(K$12+$B$7)+$B$6*($A34+$B$8)))/2,0),1)),"")</f>
      </c>
      <c r="L34" s="3">
        <f>IF(L$12&gt;$A34,IF(L$12=1,5,MAX($B$4-ROUNDDOWN((SQRT($B$5*(L$12+$B$7)+$B$6*($A34+$B$8)))/2,0),1)),"")</f>
      </c>
      <c r="M34" s="3">
        <f>IF(M$12&gt;$A34,IF(M$12=1,5,MAX($B$4-ROUNDDOWN((SQRT($B$5*(M$12+$B$7)+$B$6*($A34+$B$8)))/2,0),1)),"")</f>
      </c>
      <c r="N34" s="3">
        <f>IF(N$12&gt;$A34,IF(N$12=1,5,MAX($B$4-ROUNDDOWN((SQRT($B$5*(N$12+$B$7)+$B$6*($A34+$B$8)))/2,0),1)),"")</f>
      </c>
      <c r="O34" s="3">
        <f>IF(O$12&gt;$A34,IF(O$12=1,5,MAX($B$4-ROUNDDOWN((SQRT($B$5*(O$12+$B$7)+$B$6*($A34+$B$8)))/2,0),1)),"")</f>
      </c>
      <c r="P34" s="3">
        <f>IF(P$12&gt;$A34,IF(P$12=1,5,MAX($B$4-ROUNDDOWN((SQRT($B$5*(P$12+$B$7)+$B$6*($A34+$B$8)))/2,0),1)),"")</f>
      </c>
      <c r="Q34" s="3">
        <f>IF(Q$12&gt;$A34,IF(Q$12=1,5,MAX($B$4-ROUNDDOWN((SQRT($B$5*(Q$12+$B$7)+$B$6*($A34+$B$8)))/2,0),1)),"")</f>
      </c>
      <c r="R34" s="3">
        <f>IF(R$12&gt;$A34,IF(R$12=1,5,MAX($B$4-ROUNDDOWN((SQRT($B$5*(R$12+$B$7)+$B$6*($A34+$B$8)))/2,0),1)),"")</f>
      </c>
      <c r="S34" s="3">
        <f>IF(S$12&gt;$A34,IF(S$12=1,5,MAX($B$4-ROUNDDOWN((SQRT($B$5*(S$12+$B$7)+$B$6*($A34+$B$8)))/2,0),1)),"")</f>
      </c>
      <c r="T34" s="3">
        <f>IF(T$12&gt;$A34,IF(T$12=1,5,MAX($B$4-ROUNDDOWN((SQRT($B$5*(T$12+$B$7)+$B$6*($A34+$B$8)))/2,0),1)),"")</f>
      </c>
      <c r="U34" s="3">
        <f>IF(U$12&gt;$A34,IF(U$12=1,5,MAX($B$4-ROUNDDOWN((SQRT($B$5*(U$12+$B$7)+$B$6*($A34+$B$8)))/2,0),1)),"")</f>
      </c>
      <c r="V34" s="3">
        <f>IF(V$12&gt;$A34,IF(V$12=1,5,MAX($B$4-ROUNDDOWN((SQRT($B$5*(V$12+$B$7)+$B$6*($A34+$B$8)))/2,0),1)),"")</f>
      </c>
      <c r="W34" s="2">
        <f>IF(W$12&gt;$A34,IF(W$12=1,5,MAX($B$4-ROUNDDOWN((SQRT($B$5*(W$12+$B$7)+$B$6*($A34+$B$8)))/2,0),1)),"")</f>
      </c>
      <c r="X34" s="2">
        <f>IF(X$12&gt;$A34,IF(X$12=1,5,MAX($B$4-ROUNDDOWN((SQRT($B$5*(X$12+$B$7)+$B$6*($A34+$B$8)))/2,0),1)),"")</f>
      </c>
      <c r="Y34" s="2">
        <f>IF(Y$12&gt;$A34,IF(Y$12=1,5,MAX($B$4-ROUNDDOWN((SQRT($B$5*(Y$12+$B$7)+$B$6*($A34+$B$8)))/2,0),1)),"")</f>
      </c>
      <c r="Z34" s="2">
        <f>IF(Z$12&gt;$A34,IF(Z$12=1,5,MAX($B$4-ROUNDDOWN((SQRT($B$5*(Z$12+$B$7)+$B$6*($A34+$B$8)))/2,0),1)),"")</f>
      </c>
      <c r="AA34" s="2">
        <f>IF(AA$12&gt;$A34,IF(AA$12=1,5,MAX($B$4-ROUNDDOWN((SQRT($B$5*(AA$12+$B$7)+$B$6*($A34+$B$8)))/2,0),1)),"")</f>
      </c>
      <c r="AB34" s="2">
        <f>IF(AB$12&gt;$A34,IF(AB$12=1,5,MAX($B$4-ROUNDDOWN((SQRT($B$5*(AB$12+$B$7)+$B$6*($A34+$B$8)))/2,0),1)),"")</f>
      </c>
    </row>
    <row x14ac:dyDescent="0.25" r="35" customHeight="1" ht="18.75">
      <c r="A35" s="2">
        <v>22</v>
      </c>
      <c r="B35" s="3">
        <f>IF(B$12&gt;$A35,IF(B$12=1,5,MAX($B$4-ROUNDDOWN((SQRT($B$5*(B$12+$B$7)+$B$6*($A35+$B$8)))/2,0),1)),"")</f>
      </c>
      <c r="C35" s="3">
        <f>IF(C$12&gt;$A35,IF(C$12=1,5,MAX($B$4-ROUNDDOWN((SQRT($B$5*(C$12+$B$7)+$B$6*($A35+$B$8)))/2,0),1)),"")</f>
      </c>
      <c r="D35" s="3">
        <f>IF(D$12&gt;$A35,IF(D$12=1,5,MAX($B$4-ROUNDDOWN((SQRT($B$5*(D$12+$B$7)+$B$6*($A35+$B$8)))/2,0),1)),"")</f>
      </c>
      <c r="E35" s="3">
        <f>IF(E$12&gt;$A35,IF(E$12=1,5,MAX($B$4-ROUNDDOWN((SQRT($B$5*(E$12+$B$7)+$B$6*($A35+$B$8)))/2,0),1)),"")</f>
      </c>
      <c r="F35" s="3">
        <f>IF(F$12&gt;$A35,IF(F$12=1,5,MAX($B$4-ROUNDDOWN((SQRT($B$5*(F$12+$B$7)+$B$6*($A35+$B$8)))/2,0),1)),"")</f>
      </c>
      <c r="G35" s="3">
        <f>IF(G$12&gt;$A35,IF(G$12=1,5,MAX($B$4-ROUNDDOWN((SQRT($B$5*(G$12+$B$7)+$B$6*($A35+$B$8)))/2,0),1)),"")</f>
      </c>
      <c r="H35" s="3">
        <f>IF(H$12&gt;$A35,IF(H$12=1,5,MAX($B$4-ROUNDDOWN((SQRT($B$5*(H$12+$B$7)+$B$6*($A35+$B$8)))/2,0),1)),"")</f>
      </c>
      <c r="I35" s="3">
        <f>IF(I$12&gt;$A35,IF(I$12=1,5,MAX($B$4-ROUNDDOWN((SQRT($B$5*(I$12+$B$7)+$B$6*($A35+$B$8)))/2,0),1)),"")</f>
      </c>
      <c r="J35" s="3">
        <f>IF(J$12&gt;$A35,IF(J$12=1,5,MAX($B$4-ROUNDDOWN((SQRT($B$5*(J$12+$B$7)+$B$6*($A35+$B$8)))/2,0),1)),"")</f>
      </c>
      <c r="K35" s="3">
        <f>IF(K$12&gt;$A35,IF(K$12=1,5,MAX($B$4-ROUNDDOWN((SQRT($B$5*(K$12+$B$7)+$B$6*($A35+$B$8)))/2,0),1)),"")</f>
      </c>
      <c r="L35" s="3">
        <f>IF(L$12&gt;$A35,IF(L$12=1,5,MAX($B$4-ROUNDDOWN((SQRT($B$5*(L$12+$B$7)+$B$6*($A35+$B$8)))/2,0),1)),"")</f>
      </c>
      <c r="M35" s="3">
        <f>IF(M$12&gt;$A35,IF(M$12=1,5,MAX($B$4-ROUNDDOWN((SQRT($B$5*(M$12+$B$7)+$B$6*($A35+$B$8)))/2,0),1)),"")</f>
      </c>
      <c r="N35" s="3">
        <f>IF(N$12&gt;$A35,IF(N$12=1,5,MAX($B$4-ROUNDDOWN((SQRT($B$5*(N$12+$B$7)+$B$6*($A35+$B$8)))/2,0),1)),"")</f>
      </c>
      <c r="O35" s="3">
        <f>IF(O$12&gt;$A35,IF(O$12=1,5,MAX($B$4-ROUNDDOWN((SQRT($B$5*(O$12+$B$7)+$B$6*($A35+$B$8)))/2,0),1)),"")</f>
      </c>
      <c r="P35" s="3">
        <f>IF(P$12&gt;$A35,IF(P$12=1,5,MAX($B$4-ROUNDDOWN((SQRT($B$5*(P$12+$B$7)+$B$6*($A35+$B$8)))/2,0),1)),"")</f>
      </c>
      <c r="Q35" s="3">
        <f>IF(Q$12&gt;$A35,IF(Q$12=1,5,MAX($B$4-ROUNDDOWN((SQRT($B$5*(Q$12+$B$7)+$B$6*($A35+$B$8)))/2,0),1)),"")</f>
      </c>
      <c r="R35" s="3">
        <f>IF(R$12&gt;$A35,IF(R$12=1,5,MAX($B$4-ROUNDDOWN((SQRT($B$5*(R$12+$B$7)+$B$6*($A35+$B$8)))/2,0),1)),"")</f>
      </c>
      <c r="S35" s="3">
        <f>IF(S$12&gt;$A35,IF(S$12=1,5,MAX($B$4-ROUNDDOWN((SQRT($B$5*(S$12+$B$7)+$B$6*($A35+$B$8)))/2,0),1)),"")</f>
      </c>
      <c r="T35" s="3">
        <f>IF(T$12&gt;$A35,IF(T$12=1,5,MAX($B$4-ROUNDDOWN((SQRT($B$5*(T$12+$B$7)+$B$6*($A35+$B$8)))/2,0),1)),"")</f>
      </c>
      <c r="U35" s="3">
        <f>IF(U$12&gt;$A35,IF(U$12=1,5,MAX($B$4-ROUNDDOWN((SQRT($B$5*(U$12+$B$7)+$B$6*($A35+$B$8)))/2,0),1)),"")</f>
      </c>
      <c r="V35" s="3">
        <f>IF(V$12&gt;$A35,IF(V$12=1,5,MAX($B$4-ROUNDDOWN((SQRT($B$5*(V$12+$B$7)+$B$6*($A35+$B$8)))/2,0),1)),"")</f>
      </c>
      <c r="W35" s="3">
        <f>IF(W$12&gt;$A35,IF(W$12=1,5,MAX($B$4-ROUNDDOWN((SQRT($B$5*(W$12+$B$7)+$B$6*($A35+$B$8)))/2,0),1)),"")</f>
      </c>
      <c r="X35" s="2">
        <f>IF(X$12&gt;$A35,IF(X$12=1,5,MAX($B$4-ROUNDDOWN((SQRT($B$5*(X$12+$B$7)+$B$6*($A35+$B$8)))/2,0),1)),"")</f>
      </c>
      <c r="Y35" s="2">
        <f>IF(Y$12&gt;$A35,IF(Y$12=1,5,MAX($B$4-ROUNDDOWN((SQRT($B$5*(Y$12+$B$7)+$B$6*($A35+$B$8)))/2,0),1)),"")</f>
      </c>
      <c r="Z35" s="2">
        <f>IF(Z$12&gt;$A35,IF(Z$12=1,5,MAX($B$4-ROUNDDOWN((SQRT($B$5*(Z$12+$B$7)+$B$6*($A35+$B$8)))/2,0),1)),"")</f>
      </c>
      <c r="AA35" s="2">
        <f>IF(AA$12&gt;$A35,IF(AA$12=1,5,MAX($B$4-ROUNDDOWN((SQRT($B$5*(AA$12+$B$7)+$B$6*($A35+$B$8)))/2,0),1)),"")</f>
      </c>
      <c r="AB35" s="2">
        <f>IF(AB$12&gt;$A35,IF(AB$12=1,5,MAX($B$4-ROUNDDOWN((SQRT($B$5*(AB$12+$B$7)+$B$6*($A35+$B$8)))/2,0),1)),"")</f>
      </c>
    </row>
    <row x14ac:dyDescent="0.25" r="36" customHeight="1" ht="18.75">
      <c r="A36" s="2">
        <v>23</v>
      </c>
      <c r="B36" s="3">
        <f>IF(B$12&gt;$A36,IF(B$12=1,5,MAX($B$4-ROUNDDOWN((SQRT($B$5*(B$12+$B$7)+$B$6*($A36+$B$8)))/2,0),1)),"")</f>
      </c>
      <c r="C36" s="3">
        <f>IF(C$12&gt;$A36,IF(C$12=1,5,MAX($B$4-ROUNDDOWN((SQRT($B$5*(C$12+$B$7)+$B$6*($A36+$B$8)))/2,0),1)),"")</f>
      </c>
      <c r="D36" s="3">
        <f>IF(D$12&gt;$A36,IF(D$12=1,5,MAX($B$4-ROUNDDOWN((SQRT($B$5*(D$12+$B$7)+$B$6*($A36+$B$8)))/2,0),1)),"")</f>
      </c>
      <c r="E36" s="3">
        <f>IF(E$12&gt;$A36,IF(E$12=1,5,MAX($B$4-ROUNDDOWN((SQRT($B$5*(E$12+$B$7)+$B$6*($A36+$B$8)))/2,0),1)),"")</f>
      </c>
      <c r="F36" s="3">
        <f>IF(F$12&gt;$A36,IF(F$12=1,5,MAX($B$4-ROUNDDOWN((SQRT($B$5*(F$12+$B$7)+$B$6*($A36+$B$8)))/2,0),1)),"")</f>
      </c>
      <c r="G36" s="3">
        <f>IF(G$12&gt;$A36,IF(G$12=1,5,MAX($B$4-ROUNDDOWN((SQRT($B$5*(G$12+$B$7)+$B$6*($A36+$B$8)))/2,0),1)),"")</f>
      </c>
      <c r="H36" s="3">
        <f>IF(H$12&gt;$A36,IF(H$12=1,5,MAX($B$4-ROUNDDOWN((SQRT($B$5*(H$12+$B$7)+$B$6*($A36+$B$8)))/2,0),1)),"")</f>
      </c>
      <c r="I36" s="3">
        <f>IF(I$12&gt;$A36,IF(I$12=1,5,MAX($B$4-ROUNDDOWN((SQRT($B$5*(I$12+$B$7)+$B$6*($A36+$B$8)))/2,0),1)),"")</f>
      </c>
      <c r="J36" s="3">
        <f>IF(J$12&gt;$A36,IF(J$12=1,5,MAX($B$4-ROUNDDOWN((SQRT($B$5*(J$12+$B$7)+$B$6*($A36+$B$8)))/2,0),1)),"")</f>
      </c>
      <c r="K36" s="3">
        <f>IF(K$12&gt;$A36,IF(K$12=1,5,MAX($B$4-ROUNDDOWN((SQRT($B$5*(K$12+$B$7)+$B$6*($A36+$B$8)))/2,0),1)),"")</f>
      </c>
      <c r="L36" s="3">
        <f>IF(L$12&gt;$A36,IF(L$12=1,5,MAX($B$4-ROUNDDOWN((SQRT($B$5*(L$12+$B$7)+$B$6*($A36+$B$8)))/2,0),1)),"")</f>
      </c>
      <c r="M36" s="3">
        <f>IF(M$12&gt;$A36,IF(M$12=1,5,MAX($B$4-ROUNDDOWN((SQRT($B$5*(M$12+$B$7)+$B$6*($A36+$B$8)))/2,0),1)),"")</f>
      </c>
      <c r="N36" s="3">
        <f>IF(N$12&gt;$A36,IF(N$12=1,5,MAX($B$4-ROUNDDOWN((SQRT($B$5*(N$12+$B$7)+$B$6*($A36+$B$8)))/2,0),1)),"")</f>
      </c>
      <c r="O36" s="3">
        <f>IF(O$12&gt;$A36,IF(O$12=1,5,MAX($B$4-ROUNDDOWN((SQRT($B$5*(O$12+$B$7)+$B$6*($A36+$B$8)))/2,0),1)),"")</f>
      </c>
      <c r="P36" s="3">
        <f>IF(P$12&gt;$A36,IF(P$12=1,5,MAX($B$4-ROUNDDOWN((SQRT($B$5*(P$12+$B$7)+$B$6*($A36+$B$8)))/2,0),1)),"")</f>
      </c>
      <c r="Q36" s="3">
        <f>IF(Q$12&gt;$A36,IF(Q$12=1,5,MAX($B$4-ROUNDDOWN((SQRT($B$5*(Q$12+$B$7)+$B$6*($A36+$B$8)))/2,0),1)),"")</f>
      </c>
      <c r="R36" s="3">
        <f>IF(R$12&gt;$A36,IF(R$12=1,5,MAX($B$4-ROUNDDOWN((SQRT($B$5*(R$12+$B$7)+$B$6*($A36+$B$8)))/2,0),1)),"")</f>
      </c>
      <c r="S36" s="3">
        <f>IF(S$12&gt;$A36,IF(S$12=1,5,MAX($B$4-ROUNDDOWN((SQRT($B$5*(S$12+$B$7)+$B$6*($A36+$B$8)))/2,0),1)),"")</f>
      </c>
      <c r="T36" s="3">
        <f>IF(T$12&gt;$A36,IF(T$12=1,5,MAX($B$4-ROUNDDOWN((SQRT($B$5*(T$12+$B$7)+$B$6*($A36+$B$8)))/2,0),1)),"")</f>
      </c>
      <c r="U36" s="3">
        <f>IF(U$12&gt;$A36,IF(U$12=1,5,MAX($B$4-ROUNDDOWN((SQRT($B$5*(U$12+$B$7)+$B$6*($A36+$B$8)))/2,0),1)),"")</f>
      </c>
      <c r="V36" s="3">
        <f>IF(V$12&gt;$A36,IF(V$12=1,5,MAX($B$4-ROUNDDOWN((SQRT($B$5*(V$12+$B$7)+$B$6*($A36+$B$8)))/2,0),1)),"")</f>
      </c>
      <c r="W36" s="3">
        <f>IF(W$12&gt;$A36,IF(W$12=1,5,MAX($B$4-ROUNDDOWN((SQRT($B$5*(W$12+$B$7)+$B$6*($A36+$B$8)))/2,0),1)),"")</f>
      </c>
      <c r="X36" s="3">
        <f>IF(X$12&gt;$A36,IF(X$12=1,5,MAX($B$4-ROUNDDOWN((SQRT($B$5*(X$12+$B$7)+$B$6*($A36+$B$8)))/2,0),1)),"")</f>
      </c>
      <c r="Y36" s="2">
        <f>IF(Y$12&gt;$A36,IF(Y$12=1,5,MAX($B$4-ROUNDDOWN((SQRT($B$5*(Y$12+$B$7)+$B$6*($A36+$B$8)))/2,0),1)),"")</f>
      </c>
      <c r="Z36" s="2">
        <f>IF(Z$12&gt;$A36,IF(Z$12=1,5,MAX($B$4-ROUNDDOWN((SQRT($B$5*(Z$12+$B$7)+$B$6*($A36+$B$8)))/2,0),1)),"")</f>
      </c>
      <c r="AA36" s="2">
        <f>IF(AA$12&gt;$A36,IF(AA$12=1,5,MAX($B$4-ROUNDDOWN((SQRT($B$5*(AA$12+$B$7)+$B$6*($A36+$B$8)))/2,0),1)),"")</f>
      </c>
      <c r="AB36" s="2">
        <f>IF(AB$12&gt;$A36,IF(AB$12=1,5,MAX($B$4-ROUNDDOWN((SQRT($B$5*(AB$12+$B$7)+$B$6*($A36+$B$8)))/2,0),1)),"")</f>
      </c>
    </row>
    <row x14ac:dyDescent="0.25" r="37" customHeight="1" ht="18.75">
      <c r="A37" s="2">
        <v>24</v>
      </c>
      <c r="B37" s="3">
        <f>IF(B$12&gt;$A37,IF(B$12=1,5,MAX($B$4-ROUNDDOWN((SQRT($B$5*(B$12+$B$7)+$B$6*($A37+$B$8)))/2,0),1)),"")</f>
      </c>
      <c r="C37" s="3">
        <f>IF(C$12&gt;$A37,IF(C$12=1,5,MAX($B$4-ROUNDDOWN((SQRT($B$5*(C$12+$B$7)+$B$6*($A37+$B$8)))/2,0),1)),"")</f>
      </c>
      <c r="D37" s="3">
        <f>IF(D$12&gt;$A37,IF(D$12=1,5,MAX($B$4-ROUNDDOWN((SQRT($B$5*(D$12+$B$7)+$B$6*($A37+$B$8)))/2,0),1)),"")</f>
      </c>
      <c r="E37" s="3">
        <f>IF(E$12&gt;$A37,IF(E$12=1,5,MAX($B$4-ROUNDDOWN((SQRT($B$5*(E$12+$B$7)+$B$6*($A37+$B$8)))/2,0),1)),"")</f>
      </c>
      <c r="F37" s="3">
        <f>IF(F$12&gt;$A37,IF(F$12=1,5,MAX($B$4-ROUNDDOWN((SQRT($B$5*(F$12+$B$7)+$B$6*($A37+$B$8)))/2,0),1)),"")</f>
      </c>
      <c r="G37" s="3">
        <f>IF(G$12&gt;$A37,IF(G$12=1,5,MAX($B$4-ROUNDDOWN((SQRT($B$5*(G$12+$B$7)+$B$6*($A37+$B$8)))/2,0),1)),"")</f>
      </c>
      <c r="H37" s="3">
        <f>IF(H$12&gt;$A37,IF(H$12=1,5,MAX($B$4-ROUNDDOWN((SQRT($B$5*(H$12+$B$7)+$B$6*($A37+$B$8)))/2,0),1)),"")</f>
      </c>
      <c r="I37" s="3">
        <f>IF(I$12&gt;$A37,IF(I$12=1,5,MAX($B$4-ROUNDDOWN((SQRT($B$5*(I$12+$B$7)+$B$6*($A37+$B$8)))/2,0),1)),"")</f>
      </c>
      <c r="J37" s="3">
        <f>IF(J$12&gt;$A37,IF(J$12=1,5,MAX($B$4-ROUNDDOWN((SQRT($B$5*(J$12+$B$7)+$B$6*($A37+$B$8)))/2,0),1)),"")</f>
      </c>
      <c r="K37" s="3">
        <f>IF(K$12&gt;$A37,IF(K$12=1,5,MAX($B$4-ROUNDDOWN((SQRT($B$5*(K$12+$B$7)+$B$6*($A37+$B$8)))/2,0),1)),"")</f>
      </c>
      <c r="L37" s="3">
        <f>IF(L$12&gt;$A37,IF(L$12=1,5,MAX($B$4-ROUNDDOWN((SQRT($B$5*(L$12+$B$7)+$B$6*($A37+$B$8)))/2,0),1)),"")</f>
      </c>
      <c r="M37" s="3">
        <f>IF(M$12&gt;$A37,IF(M$12=1,5,MAX($B$4-ROUNDDOWN((SQRT($B$5*(M$12+$B$7)+$B$6*($A37+$B$8)))/2,0),1)),"")</f>
      </c>
      <c r="N37" s="3">
        <f>IF(N$12&gt;$A37,IF(N$12=1,5,MAX($B$4-ROUNDDOWN((SQRT($B$5*(N$12+$B$7)+$B$6*($A37+$B$8)))/2,0),1)),"")</f>
      </c>
      <c r="O37" s="3">
        <f>IF(O$12&gt;$A37,IF(O$12=1,5,MAX($B$4-ROUNDDOWN((SQRT($B$5*(O$12+$B$7)+$B$6*($A37+$B$8)))/2,0),1)),"")</f>
      </c>
      <c r="P37" s="3">
        <f>IF(P$12&gt;$A37,IF(P$12=1,5,MAX($B$4-ROUNDDOWN((SQRT($B$5*(P$12+$B$7)+$B$6*($A37+$B$8)))/2,0),1)),"")</f>
      </c>
      <c r="Q37" s="3">
        <f>IF(Q$12&gt;$A37,IF(Q$12=1,5,MAX($B$4-ROUNDDOWN((SQRT($B$5*(Q$12+$B$7)+$B$6*($A37+$B$8)))/2,0),1)),"")</f>
      </c>
      <c r="R37" s="3">
        <f>IF(R$12&gt;$A37,IF(R$12=1,5,MAX($B$4-ROUNDDOWN((SQRT($B$5*(R$12+$B$7)+$B$6*($A37+$B$8)))/2,0),1)),"")</f>
      </c>
      <c r="S37" s="3">
        <f>IF(S$12&gt;$A37,IF(S$12=1,5,MAX($B$4-ROUNDDOWN((SQRT($B$5*(S$12+$B$7)+$B$6*($A37+$B$8)))/2,0),1)),"")</f>
      </c>
      <c r="T37" s="3">
        <f>IF(T$12&gt;$A37,IF(T$12=1,5,MAX($B$4-ROUNDDOWN((SQRT($B$5*(T$12+$B$7)+$B$6*($A37+$B$8)))/2,0),1)),"")</f>
      </c>
      <c r="U37" s="3">
        <f>IF(U$12&gt;$A37,IF(U$12=1,5,MAX($B$4-ROUNDDOWN((SQRT($B$5*(U$12+$B$7)+$B$6*($A37+$B$8)))/2,0),1)),"")</f>
      </c>
      <c r="V37" s="3">
        <f>IF(V$12&gt;$A37,IF(V$12=1,5,MAX($B$4-ROUNDDOWN((SQRT($B$5*(V$12+$B$7)+$B$6*($A37+$B$8)))/2,0),1)),"")</f>
      </c>
      <c r="W37" s="3">
        <f>IF(W$12&gt;$A37,IF(W$12=1,5,MAX($B$4-ROUNDDOWN((SQRT($B$5*(W$12+$B$7)+$B$6*($A37+$B$8)))/2,0),1)),"")</f>
      </c>
      <c r="X37" s="3">
        <f>IF(X$12&gt;$A37,IF(X$12=1,5,MAX($B$4-ROUNDDOWN((SQRT($B$5*(X$12+$B$7)+$B$6*($A37+$B$8)))/2,0),1)),"")</f>
      </c>
      <c r="Y37" s="3">
        <f>IF(Y$12&gt;$A37,IF(Y$12=1,5,MAX($B$4-ROUNDDOWN((SQRT($B$5*(Y$12+$B$7)+$B$6*($A37+$B$8)))/2,0),1)),"")</f>
      </c>
      <c r="Z37" s="2">
        <f>IF(Z$12&gt;$A37,IF(Z$12=1,5,MAX($B$4-ROUNDDOWN((SQRT($B$5*(Z$12+$B$7)+$B$6*($A37+$B$8)))/2,0),1)),"")</f>
      </c>
      <c r="AA37" s="2">
        <f>IF(AA$12&gt;$A37,IF(AA$12=1,5,MAX($B$4-ROUNDDOWN((SQRT($B$5*(AA$12+$B$7)+$B$6*($A37+$B$8)))/2,0),1)),"")</f>
      </c>
      <c r="AB37" s="2">
        <f>IF(AB$12&gt;$A37,IF(AB$12=1,5,MAX($B$4-ROUNDDOWN((SQRT($B$5*(AB$12+$B$7)+$B$6*($A37+$B$8)))/2,0),1)),"")</f>
      </c>
    </row>
    <row x14ac:dyDescent="0.25" r="38" customHeight="1" ht="18.75">
      <c r="A38" s="2">
        <v>25</v>
      </c>
      <c r="B38" s="3">
        <f>IF(B$12&gt;$A38,IF(B$12=1,5,MAX($B$4-ROUNDDOWN((SQRT($B$5*(B$12+$B$7)+$B$6*($A38+$B$8)))/2,0),1)),"")</f>
      </c>
      <c r="C38" s="3">
        <f>IF(C$12&gt;$A38,IF(C$12=1,5,MAX($B$4-ROUNDDOWN((SQRT($B$5*(C$12+$B$7)+$B$6*($A38+$B$8)))/2,0),1)),"")</f>
      </c>
      <c r="D38" s="3">
        <f>IF(D$12&gt;$A38,IF(D$12=1,5,MAX($B$4-ROUNDDOWN((SQRT($B$5*(D$12+$B$7)+$B$6*($A38+$B$8)))/2,0),1)),"")</f>
      </c>
      <c r="E38" s="3">
        <f>IF(E$12&gt;$A38,IF(E$12=1,5,MAX($B$4-ROUNDDOWN((SQRT($B$5*(E$12+$B$7)+$B$6*($A38+$B$8)))/2,0),1)),"")</f>
      </c>
      <c r="F38" s="3">
        <f>IF(F$12&gt;$A38,IF(F$12=1,5,MAX($B$4-ROUNDDOWN((SQRT($B$5*(F$12+$B$7)+$B$6*($A38+$B$8)))/2,0),1)),"")</f>
      </c>
      <c r="G38" s="3">
        <f>IF(G$12&gt;$A38,IF(G$12=1,5,MAX($B$4-ROUNDDOWN((SQRT($B$5*(G$12+$B$7)+$B$6*($A38+$B$8)))/2,0),1)),"")</f>
      </c>
      <c r="H38" s="3">
        <f>IF(H$12&gt;$A38,IF(H$12=1,5,MAX($B$4-ROUNDDOWN((SQRT($B$5*(H$12+$B$7)+$B$6*($A38+$B$8)))/2,0),1)),"")</f>
      </c>
      <c r="I38" s="3">
        <f>IF(I$12&gt;$A38,IF(I$12=1,5,MAX($B$4-ROUNDDOWN((SQRT($B$5*(I$12+$B$7)+$B$6*($A38+$B$8)))/2,0),1)),"")</f>
      </c>
      <c r="J38" s="3">
        <f>IF(J$12&gt;$A38,IF(J$12=1,5,MAX($B$4-ROUNDDOWN((SQRT($B$5*(J$12+$B$7)+$B$6*($A38+$B$8)))/2,0),1)),"")</f>
      </c>
      <c r="K38" s="3">
        <f>IF(K$12&gt;$A38,IF(K$12=1,5,MAX($B$4-ROUNDDOWN((SQRT($B$5*(K$12+$B$7)+$B$6*($A38+$B$8)))/2,0),1)),"")</f>
      </c>
      <c r="L38" s="3">
        <f>IF(L$12&gt;$A38,IF(L$12=1,5,MAX($B$4-ROUNDDOWN((SQRT($B$5*(L$12+$B$7)+$B$6*($A38+$B$8)))/2,0),1)),"")</f>
      </c>
      <c r="M38" s="3">
        <f>IF(M$12&gt;$A38,IF(M$12=1,5,MAX($B$4-ROUNDDOWN((SQRT($B$5*(M$12+$B$7)+$B$6*($A38+$B$8)))/2,0),1)),"")</f>
      </c>
      <c r="N38" s="3">
        <f>IF(N$12&gt;$A38,IF(N$12=1,5,MAX($B$4-ROUNDDOWN((SQRT($B$5*(N$12+$B$7)+$B$6*($A38+$B$8)))/2,0),1)),"")</f>
      </c>
      <c r="O38" s="3">
        <f>IF(O$12&gt;$A38,IF(O$12=1,5,MAX($B$4-ROUNDDOWN((SQRT($B$5*(O$12+$B$7)+$B$6*($A38+$B$8)))/2,0),1)),"")</f>
      </c>
      <c r="P38" s="3">
        <f>IF(P$12&gt;$A38,IF(P$12=1,5,MAX($B$4-ROUNDDOWN((SQRT($B$5*(P$12+$B$7)+$B$6*($A38+$B$8)))/2,0),1)),"")</f>
      </c>
      <c r="Q38" s="3">
        <f>IF(Q$12&gt;$A38,IF(Q$12=1,5,MAX($B$4-ROUNDDOWN((SQRT($B$5*(Q$12+$B$7)+$B$6*($A38+$B$8)))/2,0),1)),"")</f>
      </c>
      <c r="R38" s="3">
        <f>IF(R$12&gt;$A38,IF(R$12=1,5,MAX($B$4-ROUNDDOWN((SQRT($B$5*(R$12+$B$7)+$B$6*($A38+$B$8)))/2,0),1)),"")</f>
      </c>
      <c r="S38" s="3">
        <f>IF(S$12&gt;$A38,IF(S$12=1,5,MAX($B$4-ROUNDDOWN((SQRT($B$5*(S$12+$B$7)+$B$6*($A38+$B$8)))/2,0),1)),"")</f>
      </c>
      <c r="T38" s="3">
        <f>IF(T$12&gt;$A38,IF(T$12=1,5,MAX($B$4-ROUNDDOWN((SQRT($B$5*(T$12+$B$7)+$B$6*($A38+$B$8)))/2,0),1)),"")</f>
      </c>
      <c r="U38" s="3">
        <f>IF(U$12&gt;$A38,IF(U$12=1,5,MAX($B$4-ROUNDDOWN((SQRT($B$5*(U$12+$B$7)+$B$6*($A38+$B$8)))/2,0),1)),"")</f>
      </c>
      <c r="V38" s="3">
        <f>IF(V$12&gt;$A38,IF(V$12=1,5,MAX($B$4-ROUNDDOWN((SQRT($B$5*(V$12+$B$7)+$B$6*($A38+$B$8)))/2,0),1)),"")</f>
      </c>
      <c r="W38" s="3">
        <f>IF(W$12&gt;$A38,IF(W$12=1,5,MAX($B$4-ROUNDDOWN((SQRT($B$5*(W$12+$B$7)+$B$6*($A38+$B$8)))/2,0),1)),"")</f>
      </c>
      <c r="X38" s="3">
        <f>IF(X$12&gt;$A38,IF(X$12=1,5,MAX($B$4-ROUNDDOWN((SQRT($B$5*(X$12+$B$7)+$B$6*($A38+$B$8)))/2,0),1)),"")</f>
      </c>
      <c r="Y38" s="3">
        <f>IF(Y$12&gt;$A38,IF(Y$12=1,5,MAX($B$4-ROUNDDOWN((SQRT($B$5*(Y$12+$B$7)+$B$6*($A38+$B$8)))/2,0),1)),"")</f>
      </c>
      <c r="Z38" s="3">
        <f>IF(Z$12&gt;$A38,IF(Z$12=1,5,MAX($B$4-ROUNDDOWN((SQRT($B$5*(Z$12+$B$7)+$B$6*($A38+$B$8)))/2,0),1)),"")</f>
      </c>
      <c r="AA38" s="2">
        <f>IF(AA$12&gt;$A38,IF(AA$12=1,5,MAX($B$4-ROUNDDOWN((SQRT($B$5*(AA$12+$B$7)+$B$6*($A38+$B$8)))/2,0),1)),"")</f>
      </c>
      <c r="AB38" s="2">
        <f>IF(AB$12&gt;$A38,IF(AB$12=1,5,MAX($B$4-ROUNDDOWN((SQRT($B$5*(AB$12+$B$7)+$B$6*($A38+$B$8)))/2,0),1)),"")</f>
      </c>
    </row>
    <row x14ac:dyDescent="0.25" r="39" customHeight="1" ht="18.75">
      <c r="A39" s="2">
        <v>26</v>
      </c>
      <c r="B39" s="3">
        <f>IF(B$12&gt;$A39,IF(B$12=1,5,MAX($B$4-ROUNDDOWN((SQRT($B$5*(B$12+$B$7)+$B$6*($A39+$B$8)))/2,0),1)),"")</f>
      </c>
      <c r="C39" s="3">
        <f>IF(C$12&gt;$A39,IF(C$12=1,5,MAX($B$4-ROUNDDOWN((SQRT($B$5*(C$12+$B$7)+$B$6*($A39+$B$8)))/2,0),1)),"")</f>
      </c>
      <c r="D39" s="3">
        <f>IF(D$12&gt;$A39,IF(D$12=1,5,MAX($B$4-ROUNDDOWN((SQRT($B$5*(D$12+$B$7)+$B$6*($A39+$B$8)))/2,0),1)),"")</f>
      </c>
      <c r="E39" s="3">
        <f>IF(E$12&gt;$A39,IF(E$12=1,5,MAX($B$4-ROUNDDOWN((SQRT($B$5*(E$12+$B$7)+$B$6*($A39+$B$8)))/2,0),1)),"")</f>
      </c>
      <c r="F39" s="3">
        <f>IF(F$12&gt;$A39,IF(F$12=1,5,MAX($B$4-ROUNDDOWN((SQRT($B$5*(F$12+$B$7)+$B$6*($A39+$B$8)))/2,0),1)),"")</f>
      </c>
      <c r="G39" s="3">
        <f>IF(G$12&gt;$A39,IF(G$12=1,5,MAX($B$4-ROUNDDOWN((SQRT($B$5*(G$12+$B$7)+$B$6*($A39+$B$8)))/2,0),1)),"")</f>
      </c>
      <c r="H39" s="3">
        <f>IF(H$12&gt;$A39,IF(H$12=1,5,MAX($B$4-ROUNDDOWN((SQRT($B$5*(H$12+$B$7)+$B$6*($A39+$B$8)))/2,0),1)),"")</f>
      </c>
      <c r="I39" s="3">
        <f>IF(I$12&gt;$A39,IF(I$12=1,5,MAX($B$4-ROUNDDOWN((SQRT($B$5*(I$12+$B$7)+$B$6*($A39+$B$8)))/2,0),1)),"")</f>
      </c>
      <c r="J39" s="3">
        <f>IF(J$12&gt;$A39,IF(J$12=1,5,MAX($B$4-ROUNDDOWN((SQRT($B$5*(J$12+$B$7)+$B$6*($A39+$B$8)))/2,0),1)),"")</f>
      </c>
      <c r="K39" s="3">
        <f>IF(K$12&gt;$A39,IF(K$12=1,5,MAX($B$4-ROUNDDOWN((SQRT($B$5*(K$12+$B$7)+$B$6*($A39+$B$8)))/2,0),1)),"")</f>
      </c>
      <c r="L39" s="3">
        <f>IF(L$12&gt;$A39,IF(L$12=1,5,MAX($B$4-ROUNDDOWN((SQRT($B$5*(L$12+$B$7)+$B$6*($A39+$B$8)))/2,0),1)),"")</f>
      </c>
      <c r="M39" s="3">
        <f>IF(M$12&gt;$A39,IF(M$12=1,5,MAX($B$4-ROUNDDOWN((SQRT($B$5*(M$12+$B$7)+$B$6*($A39+$B$8)))/2,0),1)),"")</f>
      </c>
      <c r="N39" s="3">
        <f>IF(N$12&gt;$A39,IF(N$12=1,5,MAX($B$4-ROUNDDOWN((SQRT($B$5*(N$12+$B$7)+$B$6*($A39+$B$8)))/2,0),1)),"")</f>
      </c>
      <c r="O39" s="3">
        <f>IF(O$12&gt;$A39,IF(O$12=1,5,MAX($B$4-ROUNDDOWN((SQRT($B$5*(O$12+$B$7)+$B$6*($A39+$B$8)))/2,0),1)),"")</f>
      </c>
      <c r="P39" s="3">
        <f>IF(P$12&gt;$A39,IF(P$12=1,5,MAX($B$4-ROUNDDOWN((SQRT($B$5*(P$12+$B$7)+$B$6*($A39+$B$8)))/2,0),1)),"")</f>
      </c>
      <c r="Q39" s="3">
        <f>IF(Q$12&gt;$A39,IF(Q$12=1,5,MAX($B$4-ROUNDDOWN((SQRT($B$5*(Q$12+$B$7)+$B$6*($A39+$B$8)))/2,0),1)),"")</f>
      </c>
      <c r="R39" s="3">
        <f>IF(R$12&gt;$A39,IF(R$12=1,5,MAX($B$4-ROUNDDOWN((SQRT($B$5*(R$12+$B$7)+$B$6*($A39+$B$8)))/2,0),1)),"")</f>
      </c>
      <c r="S39" s="3">
        <f>IF(S$12&gt;$A39,IF(S$12=1,5,MAX($B$4-ROUNDDOWN((SQRT($B$5*(S$12+$B$7)+$B$6*($A39+$B$8)))/2,0),1)),"")</f>
      </c>
      <c r="T39" s="3">
        <f>IF(T$12&gt;$A39,IF(T$12=1,5,MAX($B$4-ROUNDDOWN((SQRT($B$5*(T$12+$B$7)+$B$6*($A39+$B$8)))/2,0),1)),"")</f>
      </c>
      <c r="U39" s="3">
        <f>IF(U$12&gt;$A39,IF(U$12=1,5,MAX($B$4-ROUNDDOWN((SQRT($B$5*(U$12+$B$7)+$B$6*($A39+$B$8)))/2,0),1)),"")</f>
      </c>
      <c r="V39" s="3">
        <f>IF(V$12&gt;$A39,IF(V$12=1,5,MAX($B$4-ROUNDDOWN((SQRT($B$5*(V$12+$B$7)+$B$6*($A39+$B$8)))/2,0),1)),"")</f>
      </c>
      <c r="W39" s="3">
        <f>IF(W$12&gt;$A39,IF(W$12=1,5,MAX($B$4-ROUNDDOWN((SQRT($B$5*(W$12+$B$7)+$B$6*($A39+$B$8)))/2,0),1)),"")</f>
      </c>
      <c r="X39" s="3">
        <f>IF(X$12&gt;$A39,IF(X$12=1,5,MAX($B$4-ROUNDDOWN((SQRT($B$5*(X$12+$B$7)+$B$6*($A39+$B$8)))/2,0),1)),"")</f>
      </c>
      <c r="Y39" s="3">
        <f>IF(Y$12&gt;$A39,IF(Y$12=1,5,MAX($B$4-ROUNDDOWN((SQRT($B$5*(Y$12+$B$7)+$B$6*($A39+$B$8)))/2,0),1)),"")</f>
      </c>
      <c r="Z39" s="3">
        <f>IF(Z$12&gt;$A39,IF(Z$12=1,5,MAX($B$4-ROUNDDOWN((SQRT($B$5*(Z$12+$B$7)+$B$6*($A39+$B$8)))/2,0),1)),"")</f>
      </c>
      <c r="AA39" s="3">
        <f>IF(AA$12&gt;$A39,IF(AA$12=1,5,MAX($B$4-ROUNDDOWN((SQRT($B$5*(AA$12+$B$7)+$B$6*($A39+$B$8)))/2,0),1)),"")</f>
      </c>
      <c r="AB39" s="2">
        <f>IF(AB$12&gt;$A39,IF(AB$12=1,5,MAX($B$4-ROUNDDOWN((SQRT($B$5*(AB$12+$B$7)+$B$6*($A39+$B$8)))/2,0),1)),"")</f>
      </c>
    </row>
    <row x14ac:dyDescent="0.25" r="40" customHeight="1" ht="18.75">
      <c r="A40" s="2">
        <v>27</v>
      </c>
      <c r="B40" s="3">
        <f>IF(B$12&gt;$A40,IF(B$12=1,5,MAX($B$4-ROUNDDOWN((SQRT($B$5*(B$12+$B$7)+$B$6*($A40+$B$8)))/2,0),1)),"")</f>
      </c>
      <c r="C40" s="3">
        <f>IF(C$12&gt;$A40,IF(C$12=1,5,MAX($B$4-ROUNDDOWN((SQRT($B$5*(C$12+$B$7)+$B$6*($A40+$B$8)))/2,0),1)),"")</f>
      </c>
      <c r="D40" s="3">
        <f>IF(D$12&gt;$A40,IF(D$12=1,5,MAX($B$4-ROUNDDOWN((SQRT($B$5*(D$12+$B$7)+$B$6*($A40+$B$8)))/2,0),1)),"")</f>
      </c>
      <c r="E40" s="3">
        <f>IF(E$12&gt;$A40,IF(E$12=1,5,MAX($B$4-ROUNDDOWN((SQRT($B$5*(E$12+$B$7)+$B$6*($A40+$B$8)))/2,0),1)),"")</f>
      </c>
      <c r="F40" s="3">
        <f>IF(F$12&gt;$A40,IF(F$12=1,5,MAX($B$4-ROUNDDOWN((SQRT($B$5*(F$12+$B$7)+$B$6*($A40+$B$8)))/2,0),1)),"")</f>
      </c>
      <c r="G40" s="3">
        <f>IF(G$12&gt;$A40,IF(G$12=1,5,MAX($B$4-ROUNDDOWN((SQRT($B$5*(G$12+$B$7)+$B$6*($A40+$B$8)))/2,0),1)),"")</f>
      </c>
      <c r="H40" s="3">
        <f>IF(H$12&gt;$A40,IF(H$12=1,5,MAX($B$4-ROUNDDOWN((SQRT($B$5*(H$12+$B$7)+$B$6*($A40+$B$8)))/2,0),1)),"")</f>
      </c>
      <c r="I40" s="3">
        <f>IF(I$12&gt;$A40,IF(I$12=1,5,MAX($B$4-ROUNDDOWN((SQRT($B$5*(I$12+$B$7)+$B$6*($A40+$B$8)))/2,0),1)),"")</f>
      </c>
      <c r="J40" s="3">
        <f>IF(J$12&gt;$A40,IF(J$12=1,5,MAX($B$4-ROUNDDOWN((SQRT($B$5*(J$12+$B$7)+$B$6*($A40+$B$8)))/2,0),1)),"")</f>
      </c>
      <c r="K40" s="3">
        <f>IF(K$12&gt;$A40,IF(K$12=1,5,MAX($B$4-ROUNDDOWN((SQRT($B$5*(K$12+$B$7)+$B$6*($A40+$B$8)))/2,0),1)),"")</f>
      </c>
      <c r="L40" s="3">
        <f>IF(L$12&gt;$A40,IF(L$12=1,5,MAX($B$4-ROUNDDOWN((SQRT($B$5*(L$12+$B$7)+$B$6*($A40+$B$8)))/2,0),1)),"")</f>
      </c>
      <c r="M40" s="3">
        <f>IF(M$12&gt;$A40,IF(M$12=1,5,MAX($B$4-ROUNDDOWN((SQRT($B$5*(M$12+$B$7)+$B$6*($A40+$B$8)))/2,0),1)),"")</f>
      </c>
      <c r="N40" s="3">
        <f>IF(N$12&gt;$A40,IF(N$12=1,5,MAX($B$4-ROUNDDOWN((SQRT($B$5*(N$12+$B$7)+$B$6*($A40+$B$8)))/2,0),1)),"")</f>
      </c>
      <c r="O40" s="3">
        <f>IF(O$12&gt;$A40,IF(O$12=1,5,MAX($B$4-ROUNDDOWN((SQRT($B$5*(O$12+$B$7)+$B$6*($A40+$B$8)))/2,0),1)),"")</f>
      </c>
      <c r="P40" s="3">
        <f>IF(P$12&gt;$A40,IF(P$12=1,5,MAX($B$4-ROUNDDOWN((SQRT($B$5*(P$12+$B$7)+$B$6*($A40+$B$8)))/2,0),1)),"")</f>
      </c>
      <c r="Q40" s="3">
        <f>IF(Q$12&gt;$A40,IF(Q$12=1,5,MAX($B$4-ROUNDDOWN((SQRT($B$5*(Q$12+$B$7)+$B$6*($A40+$B$8)))/2,0),1)),"")</f>
      </c>
      <c r="R40" s="3">
        <f>IF(R$12&gt;$A40,IF(R$12=1,5,MAX($B$4-ROUNDDOWN((SQRT($B$5*(R$12+$B$7)+$B$6*($A40+$B$8)))/2,0),1)),"")</f>
      </c>
      <c r="S40" s="3">
        <f>IF(S$12&gt;$A40,IF(S$12=1,5,MAX($B$4-ROUNDDOWN((SQRT($B$5*(S$12+$B$7)+$B$6*($A40+$B$8)))/2,0),1)),"")</f>
      </c>
      <c r="T40" s="3">
        <f>IF(T$12&gt;$A40,IF(T$12=1,5,MAX($B$4-ROUNDDOWN((SQRT($B$5*(T$12+$B$7)+$B$6*($A40+$B$8)))/2,0),1)),"")</f>
      </c>
      <c r="U40" s="3">
        <f>IF(U$12&gt;$A40,IF(U$12=1,5,MAX($B$4-ROUNDDOWN((SQRT($B$5*(U$12+$B$7)+$B$6*($A40+$B$8)))/2,0),1)),"")</f>
      </c>
      <c r="V40" s="3">
        <f>IF(V$12&gt;$A40,IF(V$12=1,5,MAX($B$4-ROUNDDOWN((SQRT($B$5*(V$12+$B$7)+$B$6*($A40+$B$8)))/2,0),1)),"")</f>
      </c>
      <c r="W40" s="3">
        <f>IF(W$12&gt;$A40,IF(W$12=1,5,MAX($B$4-ROUNDDOWN((SQRT($B$5*(W$12+$B$7)+$B$6*($A40+$B$8)))/2,0),1)),"")</f>
      </c>
      <c r="X40" s="3">
        <f>IF(X$12&gt;$A40,IF(X$12=1,5,MAX($B$4-ROUNDDOWN((SQRT($B$5*(X$12+$B$7)+$B$6*($A40+$B$8)))/2,0),1)),"")</f>
      </c>
      <c r="Y40" s="3">
        <f>IF(Y$12&gt;$A40,IF(Y$12=1,5,MAX($B$4-ROUNDDOWN((SQRT($B$5*(Y$12+$B$7)+$B$6*($A40+$B$8)))/2,0),1)),"")</f>
      </c>
      <c r="Z40" s="3">
        <f>IF(Z$12&gt;$A40,IF(Z$12=1,5,MAX($B$4-ROUNDDOWN((SQRT($B$5*(Z$12+$B$7)+$B$6*($A40+$B$8)))/2,0),1)),"")</f>
      </c>
      <c r="AA40" s="3">
        <f>IF(AA$12&gt;$A40,IF(AA$12=1,5,MAX($B$4-ROUNDDOWN((SQRT($B$5*(AA$12+$B$7)+$B$6*($A40+$B$8)))/2,0),1)),"")</f>
      </c>
      <c r="AB40" s="3">
        <f>IF(AB$12&gt;$A40,IF(AB$12=1,5,MAX($B$4-ROUNDDOWN((SQRT($B$5*(AB$12+$B$7)+$B$6*($A40+$B$8)))/2,0),1)),"")</f>
      </c>
    </row>
  </sheetData>
  <pageMargins left="0.7" right="0.7" top="0.75" bottom="0.75" header="0.3" footer="0.3"/>
</worksheet>
</file>

<file path=docProps/app.xml><?xml version="1.0" encoding="utf-8"?>
<Properties xmlns:vt="http://schemas.openxmlformats.org/officeDocument/2006/docPropsVTypes" xmlns="http://schemas.openxmlformats.org/officeDocument/2006/extended-properties">
  <Application>wijmo.xlsx</Application>
  <DocSecurity>0</DocSecurity>
  <ScaleCrop>false</ScaleCrop>
  <HeadingPairs>
    <vt:vector baseType="variant" size="2">
      <vt:variant>
        <vt:lpstr>Worksheets</vt:lpstr>
      </vt:variant>
      <vt:variant>
        <vt:i4>1</vt:i4>
      </vt:variant>
    </vt:vector>
  </HeadingPairs>
  <TitlesOfParts>
    <vt:vector baseType="lpstr" size="1">
      <vt:lpstr>Tabelle1</vt:lpstr>
    </vt:vector>
  </TitlesOfParts>
  <Manager/>
  <Company>GrapeCity, Inc.</Company>
  <LinksUpToDate>false</LinksUpToDate>
  <SharedDoc>false</SharedDoc>
  <HyperlinksChanged>false</HyperlinksChanged>
  <AppVersion>1.0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2025-12-06T06:57:25.572Z</dcterms:created>
  <dcterms:modified xsi:type="dcterms:W3CDTF">2025-12-06T06:57:25.572Z</dcterms:modified>
</cp:coreProperties>
</file>